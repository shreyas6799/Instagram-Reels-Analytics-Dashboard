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202300"/>
  <mc:AlternateContent xmlns:mc="http://schemas.openxmlformats.org/markup-compatibility/2006">
    <mc:Choice Requires="x15">
      <x15ac:absPath xmlns:x15ac="http://schemas.microsoft.com/office/spreadsheetml/2010/11/ac" url="D:\Data Analyst\Python\"/>
    </mc:Choice>
  </mc:AlternateContent>
  <xr:revisionPtr revIDLastSave="0" documentId="13_ncr:1_{62A09F2B-529A-4A27-B6D6-F2DE4569626F}" xr6:coauthVersionLast="47" xr6:coauthVersionMax="47" xr10:uidLastSave="{00000000-0000-0000-0000-000000000000}"/>
  <bookViews>
    <workbookView xWindow="-108" yWindow="-108" windowWidth="23256" windowHeight="12456" xr2:uid="{7F3707FC-6D28-45B0-A5B6-193CF825C1D0}"/>
  </bookViews>
  <sheets>
    <sheet name="Full_Instagram_Reels_Stats" sheetId="1" r:id="rId1"/>
    <sheet name="PVT_FOR_Insta_Posts" sheetId="2" r:id="rId2"/>
    <sheet name="High_Reach_Posts" sheetId="3" r:id="rId3"/>
    <sheet name="Full_Instagram_Reels_Stats_Tabl" sheetId="4" r:id="rId4"/>
  </sheets>
  <definedNames>
    <definedName name="_xlnm._FilterDatabase" localSheetId="0" hidden="1">Full_Instagram_Reels_Stats!$A$1:$A$475</definedName>
    <definedName name="_xleta.ISNUMBER" hidden="1" xlm="1">#NAME?</definedName>
    <definedName name="_xleta.SUM" hidden="1" xlm="1">#NAME?</definedName>
    <definedName name="Slicer_Day">#N/A</definedName>
    <definedName name="Slicer_Year">#N/A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75" i="4" l="1"/>
  <c r="E475" i="4"/>
  <c r="D475" i="4"/>
  <c r="G474" i="4"/>
  <c r="E474" i="4"/>
  <c r="D474" i="4"/>
  <c r="G473" i="4"/>
  <c r="E473" i="4"/>
  <c r="D473" i="4"/>
  <c r="G472" i="4"/>
  <c r="E472" i="4"/>
  <c r="D472" i="4"/>
  <c r="G471" i="4"/>
  <c r="E471" i="4"/>
  <c r="D471" i="4"/>
  <c r="G470" i="4"/>
  <c r="E470" i="4"/>
  <c r="D470" i="4"/>
  <c r="G469" i="4"/>
  <c r="E469" i="4"/>
  <c r="D469" i="4"/>
  <c r="G468" i="4"/>
  <c r="E468" i="4"/>
  <c r="D468" i="4"/>
  <c r="G467" i="4"/>
  <c r="E467" i="4"/>
  <c r="D467" i="4"/>
  <c r="G466" i="4"/>
  <c r="E466" i="4"/>
  <c r="D466" i="4"/>
  <c r="G465" i="4"/>
  <c r="E465" i="4"/>
  <c r="D465" i="4"/>
  <c r="G464" i="4"/>
  <c r="E464" i="4"/>
  <c r="D464" i="4"/>
  <c r="G463" i="4"/>
  <c r="E463" i="4"/>
  <c r="D463" i="4"/>
  <c r="G462" i="4"/>
  <c r="E462" i="4"/>
  <c r="D462" i="4"/>
  <c r="G461" i="4"/>
  <c r="E461" i="4"/>
  <c r="D461" i="4"/>
  <c r="G460" i="4"/>
  <c r="E460" i="4"/>
  <c r="D460" i="4"/>
  <c r="G459" i="4"/>
  <c r="E459" i="4"/>
  <c r="D459" i="4"/>
  <c r="G458" i="4"/>
  <c r="E458" i="4"/>
  <c r="D458" i="4"/>
  <c r="G457" i="4"/>
  <c r="E457" i="4"/>
  <c r="D457" i="4"/>
  <c r="G456" i="4"/>
  <c r="E456" i="4"/>
  <c r="D456" i="4"/>
  <c r="G455" i="4"/>
  <c r="E455" i="4"/>
  <c r="D455" i="4"/>
  <c r="G454" i="4"/>
  <c r="E454" i="4"/>
  <c r="D454" i="4"/>
  <c r="G453" i="4"/>
  <c r="E453" i="4"/>
  <c r="D453" i="4"/>
  <c r="G452" i="4"/>
  <c r="E452" i="4"/>
  <c r="D452" i="4"/>
  <c r="G451" i="4"/>
  <c r="E451" i="4"/>
  <c r="D451" i="4"/>
  <c r="G450" i="4"/>
  <c r="E450" i="4"/>
  <c r="D450" i="4"/>
  <c r="G449" i="4"/>
  <c r="E449" i="4"/>
  <c r="D449" i="4"/>
  <c r="G448" i="4"/>
  <c r="E448" i="4"/>
  <c r="D448" i="4"/>
  <c r="G447" i="4"/>
  <c r="E447" i="4"/>
  <c r="D447" i="4"/>
  <c r="G446" i="4"/>
  <c r="E446" i="4"/>
  <c r="D446" i="4"/>
  <c r="G445" i="4"/>
  <c r="E445" i="4"/>
  <c r="D445" i="4"/>
  <c r="G444" i="4"/>
  <c r="E444" i="4"/>
  <c r="D444" i="4"/>
  <c r="G443" i="4"/>
  <c r="E443" i="4"/>
  <c r="D443" i="4"/>
  <c r="G442" i="4"/>
  <c r="E442" i="4"/>
  <c r="D442" i="4"/>
  <c r="G441" i="4"/>
  <c r="E441" i="4"/>
  <c r="D441" i="4"/>
  <c r="G440" i="4"/>
  <c r="E440" i="4"/>
  <c r="D440" i="4"/>
  <c r="G439" i="4"/>
  <c r="E439" i="4"/>
  <c r="D439" i="4"/>
  <c r="G438" i="4"/>
  <c r="E438" i="4"/>
  <c r="D438" i="4"/>
  <c r="G437" i="4"/>
  <c r="E437" i="4"/>
  <c r="D437" i="4"/>
  <c r="G436" i="4"/>
  <c r="E436" i="4"/>
  <c r="D436" i="4"/>
  <c r="G435" i="4"/>
  <c r="E435" i="4"/>
  <c r="D435" i="4"/>
  <c r="G434" i="4"/>
  <c r="E434" i="4"/>
  <c r="D434" i="4"/>
  <c r="G433" i="4"/>
  <c r="E433" i="4"/>
  <c r="D433" i="4"/>
  <c r="G432" i="4"/>
  <c r="E432" i="4"/>
  <c r="D432" i="4"/>
  <c r="G431" i="4"/>
  <c r="E431" i="4"/>
  <c r="D431" i="4"/>
  <c r="G430" i="4"/>
  <c r="E430" i="4"/>
  <c r="D430" i="4"/>
  <c r="G429" i="4"/>
  <c r="E429" i="4"/>
  <c r="D429" i="4"/>
  <c r="G428" i="4"/>
  <c r="E428" i="4"/>
  <c r="D428" i="4"/>
  <c r="G427" i="4"/>
  <c r="E427" i="4"/>
  <c r="D427" i="4"/>
  <c r="G426" i="4"/>
  <c r="E426" i="4"/>
  <c r="D426" i="4"/>
  <c r="G425" i="4"/>
  <c r="E425" i="4"/>
  <c r="D425" i="4"/>
  <c r="G424" i="4"/>
  <c r="E424" i="4"/>
  <c r="D424" i="4"/>
  <c r="G423" i="4"/>
  <c r="E423" i="4"/>
  <c r="D423" i="4"/>
  <c r="G422" i="4"/>
  <c r="E422" i="4"/>
  <c r="D422" i="4"/>
  <c r="G421" i="4"/>
  <c r="E421" i="4"/>
  <c r="D421" i="4"/>
  <c r="G420" i="4"/>
  <c r="E420" i="4"/>
  <c r="D420" i="4"/>
  <c r="G419" i="4"/>
  <c r="E419" i="4"/>
  <c r="D419" i="4"/>
  <c r="G418" i="4"/>
  <c r="E418" i="4"/>
  <c r="D418" i="4"/>
  <c r="G417" i="4"/>
  <c r="E417" i="4"/>
  <c r="D417" i="4"/>
  <c r="G416" i="4"/>
  <c r="E416" i="4"/>
  <c r="D416" i="4"/>
  <c r="G415" i="4"/>
  <c r="E415" i="4"/>
  <c r="D415" i="4"/>
  <c r="G414" i="4"/>
  <c r="E414" i="4"/>
  <c r="D414" i="4"/>
  <c r="G413" i="4"/>
  <c r="E413" i="4"/>
  <c r="D413" i="4"/>
  <c r="G412" i="4"/>
  <c r="E412" i="4"/>
  <c r="D412" i="4"/>
  <c r="G411" i="4"/>
  <c r="E411" i="4"/>
  <c r="D411" i="4"/>
  <c r="G410" i="4"/>
  <c r="E410" i="4"/>
  <c r="D410" i="4"/>
  <c r="G409" i="4"/>
  <c r="E409" i="4"/>
  <c r="D409" i="4"/>
  <c r="G408" i="4"/>
  <c r="E408" i="4"/>
  <c r="D408" i="4"/>
  <c r="G407" i="4"/>
  <c r="E407" i="4"/>
  <c r="D407" i="4"/>
  <c r="G406" i="4"/>
  <c r="E406" i="4"/>
  <c r="D406" i="4"/>
  <c r="G405" i="4"/>
  <c r="E405" i="4"/>
  <c r="D405" i="4"/>
  <c r="G404" i="4"/>
  <c r="E404" i="4"/>
  <c r="D404" i="4"/>
  <c r="G403" i="4"/>
  <c r="E403" i="4"/>
  <c r="D403" i="4"/>
  <c r="G402" i="4"/>
  <c r="E402" i="4"/>
  <c r="D402" i="4"/>
  <c r="G401" i="4"/>
  <c r="E401" i="4"/>
  <c r="D401" i="4"/>
  <c r="G400" i="4"/>
  <c r="E400" i="4"/>
  <c r="D400" i="4"/>
  <c r="G399" i="4"/>
  <c r="E399" i="4"/>
  <c r="D399" i="4"/>
  <c r="G398" i="4"/>
  <c r="E398" i="4"/>
  <c r="D398" i="4"/>
  <c r="G397" i="4"/>
  <c r="E397" i="4"/>
  <c r="D397" i="4"/>
  <c r="G396" i="4"/>
  <c r="E396" i="4"/>
  <c r="D396" i="4"/>
  <c r="G395" i="4"/>
  <c r="E395" i="4"/>
  <c r="D395" i="4"/>
  <c r="G394" i="4"/>
  <c r="E394" i="4"/>
  <c r="D394" i="4"/>
  <c r="G393" i="4"/>
  <c r="E393" i="4"/>
  <c r="D393" i="4"/>
  <c r="G392" i="4"/>
  <c r="E392" i="4"/>
  <c r="D392" i="4"/>
  <c r="G391" i="4"/>
  <c r="E391" i="4"/>
  <c r="D391" i="4"/>
  <c r="G390" i="4"/>
  <c r="E390" i="4"/>
  <c r="D390" i="4"/>
  <c r="G389" i="4"/>
  <c r="E389" i="4"/>
  <c r="D389" i="4"/>
  <c r="G388" i="4"/>
  <c r="E388" i="4"/>
  <c r="D388" i="4"/>
  <c r="G387" i="4"/>
  <c r="E387" i="4"/>
  <c r="D387" i="4"/>
  <c r="G386" i="4"/>
  <c r="E386" i="4"/>
  <c r="D386" i="4"/>
  <c r="G385" i="4"/>
  <c r="E385" i="4"/>
  <c r="D385" i="4"/>
  <c r="G384" i="4"/>
  <c r="E384" i="4"/>
  <c r="D384" i="4"/>
  <c r="G383" i="4"/>
  <c r="E383" i="4"/>
  <c r="D383" i="4"/>
  <c r="G382" i="4"/>
  <c r="E382" i="4"/>
  <c r="D382" i="4"/>
  <c r="G381" i="4"/>
  <c r="E381" i="4"/>
  <c r="D381" i="4"/>
  <c r="G380" i="4"/>
  <c r="E380" i="4"/>
  <c r="D380" i="4"/>
  <c r="G379" i="4"/>
  <c r="E379" i="4"/>
  <c r="D379" i="4"/>
  <c r="G378" i="4"/>
  <c r="E378" i="4"/>
  <c r="D378" i="4"/>
  <c r="G377" i="4"/>
  <c r="E377" i="4"/>
  <c r="D377" i="4"/>
  <c r="G376" i="4"/>
  <c r="E376" i="4"/>
  <c r="D376" i="4"/>
  <c r="G375" i="4"/>
  <c r="E375" i="4"/>
  <c r="D375" i="4"/>
  <c r="G374" i="4"/>
  <c r="E374" i="4"/>
  <c r="D374" i="4"/>
  <c r="G373" i="4"/>
  <c r="E373" i="4"/>
  <c r="D373" i="4"/>
  <c r="G372" i="4"/>
  <c r="E372" i="4"/>
  <c r="D372" i="4"/>
  <c r="G371" i="4"/>
  <c r="E371" i="4"/>
  <c r="D371" i="4"/>
  <c r="G370" i="4"/>
  <c r="E370" i="4"/>
  <c r="D370" i="4"/>
  <c r="G369" i="4"/>
  <c r="E369" i="4"/>
  <c r="D369" i="4"/>
  <c r="G368" i="4"/>
  <c r="E368" i="4"/>
  <c r="D368" i="4"/>
  <c r="G367" i="4"/>
  <c r="E367" i="4"/>
  <c r="D367" i="4"/>
  <c r="G366" i="4"/>
  <c r="E366" i="4"/>
  <c r="D366" i="4"/>
  <c r="G365" i="4"/>
  <c r="E365" i="4"/>
  <c r="D365" i="4"/>
  <c r="G364" i="4"/>
  <c r="E364" i="4"/>
  <c r="D364" i="4"/>
  <c r="G363" i="4"/>
  <c r="E363" i="4"/>
  <c r="D363" i="4"/>
  <c r="G362" i="4"/>
  <c r="E362" i="4"/>
  <c r="D362" i="4"/>
  <c r="G361" i="4"/>
  <c r="E361" i="4"/>
  <c r="D361" i="4"/>
  <c r="G360" i="4"/>
  <c r="E360" i="4"/>
  <c r="D360" i="4"/>
  <c r="G359" i="4"/>
  <c r="E359" i="4"/>
  <c r="D359" i="4"/>
  <c r="G358" i="4"/>
  <c r="E358" i="4"/>
  <c r="D358" i="4"/>
  <c r="G357" i="4"/>
  <c r="E357" i="4"/>
  <c r="D357" i="4"/>
  <c r="G356" i="4"/>
  <c r="E356" i="4"/>
  <c r="D356" i="4"/>
  <c r="G355" i="4"/>
  <c r="E355" i="4"/>
  <c r="D355" i="4"/>
  <c r="G354" i="4"/>
  <c r="E354" i="4"/>
  <c r="D354" i="4"/>
  <c r="G353" i="4"/>
  <c r="E353" i="4"/>
  <c r="D353" i="4"/>
  <c r="G352" i="4"/>
  <c r="E352" i="4"/>
  <c r="D352" i="4"/>
  <c r="G351" i="4"/>
  <c r="E351" i="4"/>
  <c r="D351" i="4"/>
  <c r="G350" i="4"/>
  <c r="E350" i="4"/>
  <c r="D350" i="4"/>
  <c r="G349" i="4"/>
  <c r="E349" i="4"/>
  <c r="D349" i="4"/>
  <c r="G348" i="4"/>
  <c r="E348" i="4"/>
  <c r="D348" i="4"/>
  <c r="G347" i="4"/>
  <c r="E347" i="4"/>
  <c r="D347" i="4"/>
  <c r="G346" i="4"/>
  <c r="E346" i="4"/>
  <c r="D346" i="4"/>
  <c r="G345" i="4"/>
  <c r="E345" i="4"/>
  <c r="D345" i="4"/>
  <c r="G344" i="4"/>
  <c r="E344" i="4"/>
  <c r="D344" i="4"/>
  <c r="G343" i="4"/>
  <c r="E343" i="4"/>
  <c r="D343" i="4"/>
  <c r="G342" i="4"/>
  <c r="E342" i="4"/>
  <c r="D342" i="4"/>
  <c r="G341" i="4"/>
  <c r="E341" i="4"/>
  <c r="D341" i="4"/>
  <c r="G340" i="4"/>
  <c r="E340" i="4"/>
  <c r="D340" i="4"/>
  <c r="G339" i="4"/>
  <c r="E339" i="4"/>
  <c r="D339" i="4"/>
  <c r="G338" i="4"/>
  <c r="E338" i="4"/>
  <c r="D338" i="4"/>
  <c r="G337" i="4"/>
  <c r="E337" i="4"/>
  <c r="D337" i="4"/>
  <c r="G336" i="4"/>
  <c r="E336" i="4"/>
  <c r="D336" i="4"/>
  <c r="G335" i="4"/>
  <c r="E335" i="4"/>
  <c r="D335" i="4"/>
  <c r="G334" i="4"/>
  <c r="E334" i="4"/>
  <c r="D334" i="4"/>
  <c r="G333" i="4"/>
  <c r="E333" i="4"/>
  <c r="D333" i="4"/>
  <c r="G332" i="4"/>
  <c r="E332" i="4"/>
  <c r="D332" i="4"/>
  <c r="G331" i="4"/>
  <c r="E331" i="4"/>
  <c r="D331" i="4"/>
  <c r="G330" i="4"/>
  <c r="E330" i="4"/>
  <c r="D330" i="4"/>
  <c r="G329" i="4"/>
  <c r="E329" i="4"/>
  <c r="D329" i="4"/>
  <c r="G328" i="4"/>
  <c r="E328" i="4"/>
  <c r="D328" i="4"/>
  <c r="G327" i="4"/>
  <c r="E327" i="4"/>
  <c r="D327" i="4"/>
  <c r="G326" i="4"/>
  <c r="E326" i="4"/>
  <c r="D326" i="4"/>
  <c r="G325" i="4"/>
  <c r="E325" i="4"/>
  <c r="D325" i="4"/>
  <c r="G324" i="4"/>
  <c r="E324" i="4"/>
  <c r="D324" i="4"/>
  <c r="G323" i="4"/>
  <c r="E323" i="4"/>
  <c r="D323" i="4"/>
  <c r="G322" i="4"/>
  <c r="E322" i="4"/>
  <c r="D322" i="4"/>
  <c r="G321" i="4"/>
  <c r="E321" i="4"/>
  <c r="D321" i="4"/>
  <c r="G320" i="4"/>
  <c r="E320" i="4"/>
  <c r="D320" i="4"/>
  <c r="G319" i="4"/>
  <c r="E319" i="4"/>
  <c r="D319" i="4"/>
  <c r="G318" i="4"/>
  <c r="E318" i="4"/>
  <c r="D318" i="4"/>
  <c r="G317" i="4"/>
  <c r="E317" i="4"/>
  <c r="D317" i="4"/>
  <c r="G316" i="4"/>
  <c r="E316" i="4"/>
  <c r="D316" i="4"/>
  <c r="G315" i="4"/>
  <c r="E315" i="4"/>
  <c r="D315" i="4"/>
  <c r="G314" i="4"/>
  <c r="E314" i="4"/>
  <c r="D314" i="4"/>
  <c r="G313" i="4"/>
  <c r="E313" i="4"/>
  <c r="D313" i="4"/>
  <c r="G312" i="4"/>
  <c r="E312" i="4"/>
  <c r="D312" i="4"/>
  <c r="G311" i="4"/>
  <c r="E311" i="4"/>
  <c r="D311" i="4"/>
  <c r="G310" i="4"/>
  <c r="E310" i="4"/>
  <c r="D310" i="4"/>
  <c r="G309" i="4"/>
  <c r="E309" i="4"/>
  <c r="D309" i="4"/>
  <c r="G308" i="4"/>
  <c r="E308" i="4"/>
  <c r="D308" i="4"/>
  <c r="G307" i="4"/>
  <c r="E307" i="4"/>
  <c r="D307" i="4"/>
  <c r="G306" i="4"/>
  <c r="E306" i="4"/>
  <c r="D306" i="4"/>
  <c r="G305" i="4"/>
  <c r="E305" i="4"/>
  <c r="D305" i="4"/>
  <c r="G304" i="4"/>
  <c r="E304" i="4"/>
  <c r="D304" i="4"/>
  <c r="G303" i="4"/>
  <c r="E303" i="4"/>
  <c r="D303" i="4"/>
  <c r="G302" i="4"/>
  <c r="E302" i="4"/>
  <c r="D302" i="4"/>
  <c r="G301" i="4"/>
  <c r="E301" i="4"/>
  <c r="D301" i="4"/>
  <c r="G300" i="4"/>
  <c r="E300" i="4"/>
  <c r="D300" i="4"/>
  <c r="G299" i="4"/>
  <c r="E299" i="4"/>
  <c r="D299" i="4"/>
  <c r="G298" i="4"/>
  <c r="E298" i="4"/>
  <c r="D298" i="4"/>
  <c r="G297" i="4"/>
  <c r="E297" i="4"/>
  <c r="D297" i="4"/>
  <c r="G296" i="4"/>
  <c r="E296" i="4"/>
  <c r="D296" i="4"/>
  <c r="G295" i="4"/>
  <c r="E295" i="4"/>
  <c r="D295" i="4"/>
  <c r="G294" i="4"/>
  <c r="E294" i="4"/>
  <c r="D294" i="4"/>
  <c r="G293" i="4"/>
  <c r="E293" i="4"/>
  <c r="D293" i="4"/>
  <c r="G292" i="4"/>
  <c r="E292" i="4"/>
  <c r="D292" i="4"/>
  <c r="G291" i="4"/>
  <c r="E291" i="4"/>
  <c r="D291" i="4"/>
  <c r="G290" i="4"/>
  <c r="E290" i="4"/>
  <c r="D290" i="4"/>
  <c r="G289" i="4"/>
  <c r="E289" i="4"/>
  <c r="D289" i="4"/>
  <c r="G288" i="4"/>
  <c r="E288" i="4"/>
  <c r="D288" i="4"/>
  <c r="G287" i="4"/>
  <c r="E287" i="4"/>
  <c r="D287" i="4"/>
  <c r="G286" i="4"/>
  <c r="E286" i="4"/>
  <c r="D286" i="4"/>
  <c r="G285" i="4"/>
  <c r="E285" i="4"/>
  <c r="D285" i="4"/>
  <c r="G284" i="4"/>
  <c r="E284" i="4"/>
  <c r="D284" i="4"/>
  <c r="G283" i="4"/>
  <c r="E283" i="4"/>
  <c r="D283" i="4"/>
  <c r="G282" i="4"/>
  <c r="E282" i="4"/>
  <c r="D282" i="4"/>
  <c r="G281" i="4"/>
  <c r="E281" i="4"/>
  <c r="D281" i="4"/>
  <c r="G280" i="4"/>
  <c r="E280" i="4"/>
  <c r="D280" i="4"/>
  <c r="G279" i="4"/>
  <c r="E279" i="4"/>
  <c r="D279" i="4"/>
  <c r="G278" i="4"/>
  <c r="E278" i="4"/>
  <c r="D278" i="4"/>
  <c r="G277" i="4"/>
  <c r="E277" i="4"/>
  <c r="D277" i="4"/>
  <c r="G276" i="4"/>
  <c r="E276" i="4"/>
  <c r="D276" i="4"/>
  <c r="G275" i="4"/>
  <c r="E275" i="4"/>
  <c r="D275" i="4"/>
  <c r="G274" i="4"/>
  <c r="E274" i="4"/>
  <c r="D274" i="4"/>
  <c r="G273" i="4"/>
  <c r="E273" i="4"/>
  <c r="D273" i="4"/>
  <c r="G272" i="4"/>
  <c r="E272" i="4"/>
  <c r="D272" i="4"/>
  <c r="G271" i="4"/>
  <c r="E271" i="4"/>
  <c r="D271" i="4"/>
  <c r="G270" i="4"/>
  <c r="E270" i="4"/>
  <c r="D270" i="4"/>
  <c r="G269" i="4"/>
  <c r="E269" i="4"/>
  <c r="D269" i="4"/>
  <c r="G268" i="4"/>
  <c r="E268" i="4"/>
  <c r="D268" i="4"/>
  <c r="G267" i="4"/>
  <c r="E267" i="4"/>
  <c r="D267" i="4"/>
  <c r="G266" i="4"/>
  <c r="E266" i="4"/>
  <c r="D266" i="4"/>
  <c r="G265" i="4"/>
  <c r="E265" i="4"/>
  <c r="D265" i="4"/>
  <c r="G264" i="4"/>
  <c r="E264" i="4"/>
  <c r="D264" i="4"/>
  <c r="G263" i="4"/>
  <c r="E263" i="4"/>
  <c r="D263" i="4"/>
  <c r="G262" i="4"/>
  <c r="E262" i="4"/>
  <c r="D262" i="4"/>
  <c r="G261" i="4"/>
  <c r="E261" i="4"/>
  <c r="D261" i="4"/>
  <c r="G260" i="4"/>
  <c r="E260" i="4"/>
  <c r="D260" i="4"/>
  <c r="G259" i="4"/>
  <c r="E259" i="4"/>
  <c r="D259" i="4"/>
  <c r="G258" i="4"/>
  <c r="E258" i="4"/>
  <c r="D258" i="4"/>
  <c r="G257" i="4"/>
  <c r="E257" i="4"/>
  <c r="D257" i="4"/>
  <c r="G256" i="4"/>
  <c r="E256" i="4"/>
  <c r="D256" i="4"/>
  <c r="G255" i="4"/>
  <c r="E255" i="4"/>
  <c r="D255" i="4"/>
  <c r="G254" i="4"/>
  <c r="E254" i="4"/>
  <c r="D254" i="4"/>
  <c r="G253" i="4"/>
  <c r="E253" i="4"/>
  <c r="D253" i="4"/>
  <c r="G252" i="4"/>
  <c r="E252" i="4"/>
  <c r="D252" i="4"/>
  <c r="G251" i="4"/>
  <c r="E251" i="4"/>
  <c r="D251" i="4"/>
  <c r="G250" i="4"/>
  <c r="E250" i="4"/>
  <c r="D250" i="4"/>
  <c r="G249" i="4"/>
  <c r="E249" i="4"/>
  <c r="D249" i="4"/>
  <c r="G248" i="4"/>
  <c r="E248" i="4"/>
  <c r="D248" i="4"/>
  <c r="G247" i="4"/>
  <c r="E247" i="4"/>
  <c r="D247" i="4"/>
  <c r="G246" i="4"/>
  <c r="E246" i="4"/>
  <c r="D246" i="4"/>
  <c r="G245" i="4"/>
  <c r="E245" i="4"/>
  <c r="D245" i="4"/>
  <c r="G244" i="4"/>
  <c r="E244" i="4"/>
  <c r="D244" i="4"/>
  <c r="G243" i="4"/>
  <c r="E243" i="4"/>
  <c r="D243" i="4"/>
  <c r="G242" i="4"/>
  <c r="E242" i="4"/>
  <c r="D242" i="4"/>
  <c r="G241" i="4"/>
  <c r="E241" i="4"/>
  <c r="D241" i="4"/>
  <c r="G240" i="4"/>
  <c r="E240" i="4"/>
  <c r="D240" i="4"/>
  <c r="G239" i="4"/>
  <c r="E239" i="4"/>
  <c r="D239" i="4"/>
  <c r="G238" i="4"/>
  <c r="E238" i="4"/>
  <c r="D238" i="4"/>
  <c r="G237" i="4"/>
  <c r="E237" i="4"/>
  <c r="D237" i="4"/>
  <c r="G236" i="4"/>
  <c r="E236" i="4"/>
  <c r="D236" i="4"/>
  <c r="G235" i="4"/>
  <c r="E235" i="4"/>
  <c r="D235" i="4"/>
  <c r="G234" i="4"/>
  <c r="E234" i="4"/>
  <c r="D234" i="4"/>
  <c r="G233" i="4"/>
  <c r="E233" i="4"/>
  <c r="D233" i="4"/>
  <c r="G232" i="4"/>
  <c r="E232" i="4"/>
  <c r="D232" i="4"/>
  <c r="G231" i="4"/>
  <c r="E231" i="4"/>
  <c r="D231" i="4"/>
  <c r="G230" i="4"/>
  <c r="E230" i="4"/>
  <c r="D230" i="4"/>
  <c r="G229" i="4"/>
  <c r="E229" i="4"/>
  <c r="D229" i="4"/>
  <c r="G228" i="4"/>
  <c r="E228" i="4"/>
  <c r="D228" i="4"/>
  <c r="G227" i="4"/>
  <c r="E227" i="4"/>
  <c r="D227" i="4"/>
  <c r="G226" i="4"/>
  <c r="E226" i="4"/>
  <c r="D226" i="4"/>
  <c r="G225" i="4"/>
  <c r="E225" i="4"/>
  <c r="D225" i="4"/>
  <c r="G224" i="4"/>
  <c r="E224" i="4"/>
  <c r="D224" i="4"/>
  <c r="G223" i="4"/>
  <c r="E223" i="4"/>
  <c r="D223" i="4"/>
  <c r="G222" i="4"/>
  <c r="E222" i="4"/>
  <c r="D222" i="4"/>
  <c r="G221" i="4"/>
  <c r="E221" i="4"/>
  <c r="D221" i="4"/>
  <c r="G220" i="4"/>
  <c r="E220" i="4"/>
  <c r="D220" i="4"/>
  <c r="G219" i="4"/>
  <c r="E219" i="4"/>
  <c r="D219" i="4"/>
  <c r="G218" i="4"/>
  <c r="E218" i="4"/>
  <c r="D218" i="4"/>
  <c r="G217" i="4"/>
  <c r="E217" i="4"/>
  <c r="D217" i="4"/>
  <c r="G216" i="4"/>
  <c r="E216" i="4"/>
  <c r="D216" i="4"/>
  <c r="G215" i="4"/>
  <c r="E215" i="4"/>
  <c r="D215" i="4"/>
  <c r="G214" i="4"/>
  <c r="E214" i="4"/>
  <c r="D214" i="4"/>
  <c r="G213" i="4"/>
  <c r="E213" i="4"/>
  <c r="D213" i="4"/>
  <c r="G212" i="4"/>
  <c r="E212" i="4"/>
  <c r="D212" i="4"/>
  <c r="G211" i="4"/>
  <c r="E211" i="4"/>
  <c r="D211" i="4"/>
  <c r="G210" i="4"/>
  <c r="E210" i="4"/>
  <c r="D210" i="4"/>
  <c r="G209" i="4"/>
  <c r="E209" i="4"/>
  <c r="D209" i="4"/>
  <c r="G208" i="4"/>
  <c r="E208" i="4"/>
  <c r="D208" i="4"/>
  <c r="G207" i="4"/>
  <c r="E207" i="4"/>
  <c r="D207" i="4"/>
  <c r="G206" i="4"/>
  <c r="E206" i="4"/>
  <c r="D206" i="4"/>
  <c r="G205" i="4"/>
  <c r="E205" i="4"/>
  <c r="D205" i="4"/>
  <c r="G204" i="4"/>
  <c r="E204" i="4"/>
  <c r="D204" i="4"/>
  <c r="G203" i="4"/>
  <c r="E203" i="4"/>
  <c r="D203" i="4"/>
  <c r="G202" i="4"/>
  <c r="E202" i="4"/>
  <c r="D202" i="4"/>
  <c r="G201" i="4"/>
  <c r="E201" i="4"/>
  <c r="D201" i="4"/>
  <c r="G200" i="4"/>
  <c r="E200" i="4"/>
  <c r="D200" i="4"/>
  <c r="G199" i="4"/>
  <c r="E199" i="4"/>
  <c r="D199" i="4"/>
  <c r="G198" i="4"/>
  <c r="E198" i="4"/>
  <c r="D198" i="4"/>
  <c r="G197" i="4"/>
  <c r="E197" i="4"/>
  <c r="D197" i="4"/>
  <c r="G196" i="4"/>
  <c r="E196" i="4"/>
  <c r="D196" i="4"/>
  <c r="G195" i="4"/>
  <c r="E195" i="4"/>
  <c r="D195" i="4"/>
  <c r="G194" i="4"/>
  <c r="E194" i="4"/>
  <c r="D194" i="4"/>
  <c r="G193" i="4"/>
  <c r="E193" i="4"/>
  <c r="D193" i="4"/>
  <c r="G192" i="4"/>
  <c r="E192" i="4"/>
  <c r="D192" i="4"/>
  <c r="G191" i="4"/>
  <c r="E191" i="4"/>
  <c r="D191" i="4"/>
  <c r="G190" i="4"/>
  <c r="E190" i="4"/>
  <c r="D190" i="4"/>
  <c r="G189" i="4"/>
  <c r="E189" i="4"/>
  <c r="D189" i="4"/>
  <c r="G188" i="4"/>
  <c r="E188" i="4"/>
  <c r="D188" i="4"/>
  <c r="G187" i="4"/>
  <c r="E187" i="4"/>
  <c r="D187" i="4"/>
  <c r="G186" i="4"/>
  <c r="E186" i="4"/>
  <c r="D186" i="4"/>
  <c r="G185" i="4"/>
  <c r="E185" i="4"/>
  <c r="D185" i="4"/>
  <c r="G184" i="4"/>
  <c r="E184" i="4"/>
  <c r="D184" i="4"/>
  <c r="G183" i="4"/>
  <c r="E183" i="4"/>
  <c r="D183" i="4"/>
  <c r="G182" i="4"/>
  <c r="E182" i="4"/>
  <c r="D182" i="4"/>
  <c r="G181" i="4"/>
  <c r="E181" i="4"/>
  <c r="D181" i="4"/>
  <c r="G180" i="4"/>
  <c r="E180" i="4"/>
  <c r="D180" i="4"/>
  <c r="G179" i="4"/>
  <c r="E179" i="4"/>
  <c r="D179" i="4"/>
  <c r="G178" i="4"/>
  <c r="E178" i="4"/>
  <c r="D178" i="4"/>
  <c r="G177" i="4"/>
  <c r="E177" i="4"/>
  <c r="D177" i="4"/>
  <c r="G176" i="4"/>
  <c r="E176" i="4"/>
  <c r="D176" i="4"/>
  <c r="G175" i="4"/>
  <c r="E175" i="4"/>
  <c r="D175" i="4"/>
  <c r="G174" i="4"/>
  <c r="E174" i="4"/>
  <c r="D174" i="4"/>
  <c r="G173" i="4"/>
  <c r="E173" i="4"/>
  <c r="D173" i="4"/>
  <c r="G172" i="4"/>
  <c r="E172" i="4"/>
  <c r="D172" i="4"/>
  <c r="G171" i="4"/>
  <c r="E171" i="4"/>
  <c r="D171" i="4"/>
  <c r="G170" i="4"/>
  <c r="E170" i="4"/>
  <c r="D170" i="4"/>
  <c r="G169" i="4"/>
  <c r="E169" i="4"/>
  <c r="D169" i="4"/>
  <c r="G168" i="4"/>
  <c r="E168" i="4"/>
  <c r="D168" i="4"/>
  <c r="G167" i="4"/>
  <c r="E167" i="4"/>
  <c r="D167" i="4"/>
  <c r="G166" i="4"/>
  <c r="E166" i="4"/>
  <c r="D166" i="4"/>
  <c r="G165" i="4"/>
  <c r="E165" i="4"/>
  <c r="D165" i="4"/>
  <c r="G164" i="4"/>
  <c r="E164" i="4"/>
  <c r="D164" i="4"/>
  <c r="G163" i="4"/>
  <c r="E163" i="4"/>
  <c r="D163" i="4"/>
  <c r="G162" i="4"/>
  <c r="E162" i="4"/>
  <c r="D162" i="4"/>
  <c r="G161" i="4"/>
  <c r="E161" i="4"/>
  <c r="D161" i="4"/>
  <c r="G160" i="4"/>
  <c r="E160" i="4"/>
  <c r="D160" i="4"/>
  <c r="G159" i="4"/>
  <c r="E159" i="4"/>
  <c r="D159" i="4"/>
  <c r="G158" i="4"/>
  <c r="E158" i="4"/>
  <c r="D158" i="4"/>
  <c r="G157" i="4"/>
  <c r="E157" i="4"/>
  <c r="D157" i="4"/>
  <c r="G156" i="4"/>
  <c r="E156" i="4"/>
  <c r="D156" i="4"/>
  <c r="G155" i="4"/>
  <c r="E155" i="4"/>
  <c r="D155" i="4"/>
  <c r="G154" i="4"/>
  <c r="E154" i="4"/>
  <c r="D154" i="4"/>
  <c r="G153" i="4"/>
  <c r="E153" i="4"/>
  <c r="D153" i="4"/>
  <c r="G152" i="4"/>
  <c r="E152" i="4"/>
  <c r="D152" i="4"/>
  <c r="G151" i="4"/>
  <c r="E151" i="4"/>
  <c r="D151" i="4"/>
  <c r="G150" i="4"/>
  <c r="E150" i="4"/>
  <c r="D150" i="4"/>
  <c r="G149" i="4"/>
  <c r="E149" i="4"/>
  <c r="D149" i="4"/>
  <c r="G148" i="4"/>
  <c r="E148" i="4"/>
  <c r="D148" i="4"/>
  <c r="G147" i="4"/>
  <c r="E147" i="4"/>
  <c r="D147" i="4"/>
  <c r="G146" i="4"/>
  <c r="E146" i="4"/>
  <c r="D146" i="4"/>
  <c r="G145" i="4"/>
  <c r="E145" i="4"/>
  <c r="D145" i="4"/>
  <c r="G144" i="4"/>
  <c r="E144" i="4"/>
  <c r="D144" i="4"/>
  <c r="G143" i="4"/>
  <c r="E143" i="4"/>
  <c r="D143" i="4"/>
  <c r="G142" i="4"/>
  <c r="E142" i="4"/>
  <c r="D142" i="4"/>
  <c r="G141" i="4"/>
  <c r="E141" i="4"/>
  <c r="D141" i="4"/>
  <c r="G140" i="4"/>
  <c r="E140" i="4"/>
  <c r="D140" i="4"/>
  <c r="G139" i="4"/>
  <c r="E139" i="4"/>
  <c r="D139" i="4"/>
  <c r="G138" i="4"/>
  <c r="E138" i="4"/>
  <c r="D138" i="4"/>
  <c r="G137" i="4"/>
  <c r="E137" i="4"/>
  <c r="D137" i="4"/>
  <c r="G136" i="4"/>
  <c r="E136" i="4"/>
  <c r="D136" i="4"/>
  <c r="G135" i="4"/>
  <c r="E135" i="4"/>
  <c r="D135" i="4"/>
  <c r="G134" i="4"/>
  <c r="E134" i="4"/>
  <c r="D134" i="4"/>
  <c r="G133" i="4"/>
  <c r="E133" i="4"/>
  <c r="D133" i="4"/>
  <c r="G132" i="4"/>
  <c r="E132" i="4"/>
  <c r="D132" i="4"/>
  <c r="G131" i="4"/>
  <c r="E131" i="4"/>
  <c r="D131" i="4"/>
  <c r="G130" i="4"/>
  <c r="E130" i="4"/>
  <c r="D130" i="4"/>
  <c r="G129" i="4"/>
  <c r="E129" i="4"/>
  <c r="D129" i="4"/>
  <c r="G128" i="4"/>
  <c r="E128" i="4"/>
  <c r="D128" i="4"/>
  <c r="G127" i="4"/>
  <c r="E127" i="4"/>
  <c r="D127" i="4"/>
  <c r="G126" i="4"/>
  <c r="E126" i="4"/>
  <c r="D126" i="4"/>
  <c r="G125" i="4"/>
  <c r="E125" i="4"/>
  <c r="D125" i="4"/>
  <c r="G124" i="4"/>
  <c r="E124" i="4"/>
  <c r="D124" i="4"/>
  <c r="G123" i="4"/>
  <c r="E123" i="4"/>
  <c r="D123" i="4"/>
  <c r="G122" i="4"/>
  <c r="E122" i="4"/>
  <c r="D122" i="4"/>
  <c r="G121" i="4"/>
  <c r="E121" i="4"/>
  <c r="D121" i="4"/>
  <c r="G120" i="4"/>
  <c r="E120" i="4"/>
  <c r="D120" i="4"/>
  <c r="G119" i="4"/>
  <c r="E119" i="4"/>
  <c r="D119" i="4"/>
  <c r="G118" i="4"/>
  <c r="E118" i="4"/>
  <c r="D118" i="4"/>
  <c r="G117" i="4"/>
  <c r="E117" i="4"/>
  <c r="D117" i="4"/>
  <c r="G116" i="4"/>
  <c r="E116" i="4"/>
  <c r="D116" i="4"/>
  <c r="G115" i="4"/>
  <c r="E115" i="4"/>
  <c r="D115" i="4"/>
  <c r="G114" i="4"/>
  <c r="E114" i="4"/>
  <c r="D114" i="4"/>
  <c r="G113" i="4"/>
  <c r="E113" i="4"/>
  <c r="D113" i="4"/>
  <c r="G112" i="4"/>
  <c r="E112" i="4"/>
  <c r="D112" i="4"/>
  <c r="G111" i="4"/>
  <c r="E111" i="4"/>
  <c r="D111" i="4"/>
  <c r="G110" i="4"/>
  <c r="E110" i="4"/>
  <c r="D110" i="4"/>
  <c r="G109" i="4"/>
  <c r="E109" i="4"/>
  <c r="D109" i="4"/>
  <c r="G108" i="4"/>
  <c r="E108" i="4"/>
  <c r="D108" i="4"/>
  <c r="G107" i="4"/>
  <c r="E107" i="4"/>
  <c r="D107" i="4"/>
  <c r="G106" i="4"/>
  <c r="E106" i="4"/>
  <c r="D106" i="4"/>
  <c r="G105" i="4"/>
  <c r="E105" i="4"/>
  <c r="D105" i="4"/>
  <c r="G104" i="4"/>
  <c r="E104" i="4"/>
  <c r="D104" i="4"/>
  <c r="G103" i="4"/>
  <c r="E103" i="4"/>
  <c r="D103" i="4"/>
  <c r="G102" i="4"/>
  <c r="E102" i="4"/>
  <c r="D102" i="4"/>
  <c r="G101" i="4"/>
  <c r="E101" i="4"/>
  <c r="D101" i="4"/>
  <c r="G100" i="4"/>
  <c r="E100" i="4"/>
  <c r="D100" i="4"/>
  <c r="G99" i="4"/>
  <c r="E99" i="4"/>
  <c r="D99" i="4"/>
  <c r="G98" i="4"/>
  <c r="E98" i="4"/>
  <c r="D98" i="4"/>
  <c r="G97" i="4"/>
  <c r="E97" i="4"/>
  <c r="D97" i="4"/>
  <c r="G96" i="4"/>
  <c r="E96" i="4"/>
  <c r="D96" i="4"/>
  <c r="G95" i="4"/>
  <c r="E95" i="4"/>
  <c r="D95" i="4"/>
  <c r="G94" i="4"/>
  <c r="E94" i="4"/>
  <c r="D94" i="4"/>
  <c r="G93" i="4"/>
  <c r="E93" i="4"/>
  <c r="D93" i="4"/>
  <c r="G92" i="4"/>
  <c r="E92" i="4"/>
  <c r="D92" i="4"/>
  <c r="G91" i="4"/>
  <c r="E91" i="4"/>
  <c r="D91" i="4"/>
  <c r="G90" i="4"/>
  <c r="E90" i="4"/>
  <c r="D90" i="4"/>
  <c r="G89" i="4"/>
  <c r="E89" i="4"/>
  <c r="D89" i="4"/>
  <c r="G88" i="4"/>
  <c r="E88" i="4"/>
  <c r="D88" i="4"/>
  <c r="G87" i="4"/>
  <c r="E87" i="4"/>
  <c r="D87" i="4"/>
  <c r="G86" i="4"/>
  <c r="E86" i="4"/>
  <c r="D86" i="4"/>
  <c r="G85" i="4"/>
  <c r="E85" i="4"/>
  <c r="D85" i="4"/>
  <c r="G84" i="4"/>
  <c r="E84" i="4"/>
  <c r="D84" i="4"/>
  <c r="G83" i="4"/>
  <c r="E83" i="4"/>
  <c r="D83" i="4"/>
  <c r="G82" i="4"/>
  <c r="E82" i="4"/>
  <c r="D82" i="4"/>
  <c r="G81" i="4"/>
  <c r="E81" i="4"/>
  <c r="D81" i="4"/>
  <c r="G80" i="4"/>
  <c r="E80" i="4"/>
  <c r="D80" i="4"/>
  <c r="G79" i="4"/>
  <c r="E79" i="4"/>
  <c r="D79" i="4"/>
  <c r="G78" i="4"/>
  <c r="E78" i="4"/>
  <c r="D78" i="4"/>
  <c r="G77" i="4"/>
  <c r="E77" i="4"/>
  <c r="D77" i="4"/>
  <c r="G76" i="4"/>
  <c r="E76" i="4"/>
  <c r="D76" i="4"/>
  <c r="G75" i="4"/>
  <c r="E75" i="4"/>
  <c r="D75" i="4"/>
  <c r="G74" i="4"/>
  <c r="E74" i="4"/>
  <c r="D74" i="4"/>
  <c r="G73" i="4"/>
  <c r="E73" i="4"/>
  <c r="D73" i="4"/>
  <c r="G72" i="4"/>
  <c r="E72" i="4"/>
  <c r="D72" i="4"/>
  <c r="G71" i="4"/>
  <c r="E71" i="4"/>
  <c r="D71" i="4"/>
  <c r="G70" i="4"/>
  <c r="E70" i="4"/>
  <c r="D70" i="4"/>
  <c r="G69" i="4"/>
  <c r="E69" i="4"/>
  <c r="D69" i="4"/>
  <c r="G68" i="4"/>
  <c r="E68" i="4"/>
  <c r="D68" i="4"/>
  <c r="G67" i="4"/>
  <c r="E67" i="4"/>
  <c r="D67" i="4"/>
  <c r="G66" i="4"/>
  <c r="E66" i="4"/>
  <c r="D66" i="4"/>
  <c r="G65" i="4"/>
  <c r="E65" i="4"/>
  <c r="D65" i="4"/>
  <c r="G64" i="4"/>
  <c r="E64" i="4"/>
  <c r="D64" i="4"/>
  <c r="G63" i="4"/>
  <c r="E63" i="4"/>
  <c r="D63" i="4"/>
  <c r="G62" i="4"/>
  <c r="E62" i="4"/>
  <c r="D62" i="4"/>
  <c r="G61" i="4"/>
  <c r="E61" i="4"/>
  <c r="D61" i="4"/>
  <c r="G60" i="4"/>
  <c r="E60" i="4"/>
  <c r="D60" i="4"/>
  <c r="G59" i="4"/>
  <c r="E59" i="4"/>
  <c r="D59" i="4"/>
  <c r="G58" i="4"/>
  <c r="E58" i="4"/>
  <c r="D58" i="4"/>
  <c r="G57" i="4"/>
  <c r="E57" i="4"/>
  <c r="D57" i="4"/>
  <c r="G56" i="4"/>
  <c r="E56" i="4"/>
  <c r="D56" i="4"/>
  <c r="G55" i="4"/>
  <c r="E55" i="4"/>
  <c r="D55" i="4"/>
  <c r="G54" i="4"/>
  <c r="E54" i="4"/>
  <c r="D54" i="4"/>
  <c r="G53" i="4"/>
  <c r="E53" i="4"/>
  <c r="D53" i="4"/>
  <c r="G52" i="4"/>
  <c r="E52" i="4"/>
  <c r="D52" i="4"/>
  <c r="G51" i="4"/>
  <c r="E51" i="4"/>
  <c r="D51" i="4"/>
  <c r="G50" i="4"/>
  <c r="E50" i="4"/>
  <c r="D50" i="4"/>
  <c r="G49" i="4"/>
  <c r="E49" i="4"/>
  <c r="D49" i="4"/>
  <c r="G48" i="4"/>
  <c r="E48" i="4"/>
  <c r="D48" i="4"/>
  <c r="G47" i="4"/>
  <c r="E47" i="4"/>
  <c r="D47" i="4"/>
  <c r="G46" i="4"/>
  <c r="E46" i="4"/>
  <c r="D46" i="4"/>
  <c r="G45" i="4"/>
  <c r="E45" i="4"/>
  <c r="D45" i="4"/>
  <c r="G44" i="4"/>
  <c r="E44" i="4"/>
  <c r="D44" i="4"/>
  <c r="G43" i="4"/>
  <c r="E43" i="4"/>
  <c r="D43" i="4"/>
  <c r="G42" i="4"/>
  <c r="E42" i="4"/>
  <c r="D42" i="4"/>
  <c r="G41" i="4"/>
  <c r="E41" i="4"/>
  <c r="D41" i="4"/>
  <c r="G40" i="4"/>
  <c r="E40" i="4"/>
  <c r="D40" i="4"/>
  <c r="G39" i="4"/>
  <c r="E39" i="4"/>
  <c r="D39" i="4"/>
  <c r="G38" i="4"/>
  <c r="E38" i="4"/>
  <c r="D38" i="4"/>
  <c r="G37" i="4"/>
  <c r="E37" i="4"/>
  <c r="D37" i="4"/>
  <c r="G36" i="4"/>
  <c r="E36" i="4"/>
  <c r="D36" i="4"/>
  <c r="G35" i="4"/>
  <c r="E35" i="4"/>
  <c r="D35" i="4"/>
  <c r="G34" i="4"/>
  <c r="E34" i="4"/>
  <c r="D34" i="4"/>
  <c r="G33" i="4"/>
  <c r="E33" i="4"/>
  <c r="D33" i="4"/>
  <c r="G32" i="4"/>
  <c r="E32" i="4"/>
  <c r="D32" i="4"/>
  <c r="G31" i="4"/>
  <c r="E31" i="4"/>
  <c r="D31" i="4"/>
  <c r="G30" i="4"/>
  <c r="E30" i="4"/>
  <c r="D30" i="4"/>
  <c r="G29" i="4"/>
  <c r="E29" i="4"/>
  <c r="D29" i="4"/>
  <c r="G28" i="4"/>
  <c r="E28" i="4"/>
  <c r="D28" i="4"/>
  <c r="G27" i="4"/>
  <c r="E27" i="4"/>
  <c r="D27" i="4"/>
  <c r="G26" i="4"/>
  <c r="E26" i="4"/>
  <c r="D26" i="4"/>
  <c r="G25" i="4"/>
  <c r="E25" i="4"/>
  <c r="D25" i="4"/>
  <c r="G24" i="4"/>
  <c r="E24" i="4"/>
  <c r="D24" i="4"/>
  <c r="G23" i="4"/>
  <c r="E23" i="4"/>
  <c r="D23" i="4"/>
  <c r="G22" i="4"/>
  <c r="E22" i="4"/>
  <c r="D22" i="4"/>
  <c r="G21" i="4"/>
  <c r="E21" i="4"/>
  <c r="D21" i="4"/>
  <c r="G20" i="4"/>
  <c r="E20" i="4"/>
  <c r="D20" i="4"/>
  <c r="G19" i="4"/>
  <c r="E19" i="4"/>
  <c r="D19" i="4"/>
  <c r="G18" i="4"/>
  <c r="E18" i="4"/>
  <c r="D18" i="4"/>
  <c r="G17" i="4"/>
  <c r="E17" i="4"/>
  <c r="D17" i="4"/>
  <c r="G16" i="4"/>
  <c r="E16" i="4"/>
  <c r="D16" i="4"/>
  <c r="G15" i="4"/>
  <c r="E15" i="4"/>
  <c r="D15" i="4"/>
  <c r="G14" i="4"/>
  <c r="E14" i="4"/>
  <c r="D14" i="4"/>
  <c r="G13" i="4"/>
  <c r="E13" i="4"/>
  <c r="D13" i="4"/>
  <c r="G12" i="4"/>
  <c r="E12" i="4"/>
  <c r="D12" i="4"/>
  <c r="G11" i="4"/>
  <c r="E11" i="4"/>
  <c r="D11" i="4"/>
  <c r="G10" i="4"/>
  <c r="E10" i="4"/>
  <c r="D10" i="4"/>
  <c r="G9" i="4"/>
  <c r="E9" i="4"/>
  <c r="D9" i="4"/>
  <c r="G8" i="4"/>
  <c r="E8" i="4"/>
  <c r="D8" i="4"/>
  <c r="G7" i="4"/>
  <c r="E7" i="4"/>
  <c r="D7" i="4"/>
  <c r="G6" i="4"/>
  <c r="E6" i="4"/>
  <c r="D6" i="4"/>
  <c r="G5" i="4"/>
  <c r="E5" i="4"/>
  <c r="D5" i="4"/>
  <c r="G4" i="4"/>
  <c r="E4" i="4"/>
  <c r="D4" i="4"/>
  <c r="G3" i="4"/>
  <c r="E3" i="4"/>
  <c r="D3" i="4"/>
  <c r="G2" i="4"/>
  <c r="E2" i="4"/>
  <c r="D2" i="4"/>
  <c r="G8" i="3"/>
  <c r="G9" i="3"/>
  <c r="E9" i="3"/>
  <c r="D9" i="3"/>
  <c r="E8" i="3"/>
  <c r="D8" i="3"/>
  <c r="G7" i="3"/>
  <c r="E7" i="3"/>
  <c r="D7" i="3"/>
  <c r="G6" i="3"/>
  <c r="E6" i="3"/>
  <c r="D6" i="3"/>
  <c r="G5" i="3"/>
  <c r="E5" i="3"/>
  <c r="D5" i="3"/>
  <c r="G4" i="3"/>
  <c r="E4" i="3"/>
  <c r="D4" i="3"/>
  <c r="E458" i="1"/>
  <c r="E130" i="1"/>
  <c r="E86" i="1"/>
  <c r="E299" i="1"/>
  <c r="E396" i="1"/>
  <c r="E266" i="1"/>
  <c r="E414" i="1"/>
  <c r="E106" i="1"/>
  <c r="E109" i="1"/>
  <c r="E251" i="1"/>
  <c r="E437" i="1"/>
  <c r="E438" i="1"/>
  <c r="E374" i="1"/>
  <c r="E138" i="1"/>
  <c r="E170" i="1"/>
  <c r="E283" i="1"/>
  <c r="E150" i="1"/>
  <c r="E164" i="1"/>
  <c r="E300" i="1"/>
  <c r="E23" i="1"/>
  <c r="E252" i="1"/>
  <c r="E343" i="1"/>
  <c r="E230" i="1"/>
  <c r="E77" i="1"/>
  <c r="E217" i="1"/>
  <c r="E323" i="1"/>
  <c r="E115" i="1"/>
  <c r="E49" i="1"/>
  <c r="E397" i="1"/>
  <c r="E284" i="1"/>
  <c r="E267" i="1"/>
  <c r="E156" i="1"/>
  <c r="E39" i="1"/>
  <c r="E253" i="1"/>
  <c r="E171" i="1"/>
  <c r="E11" i="1"/>
  <c r="E285" i="1"/>
  <c r="E104" i="1"/>
  <c r="E344" i="1"/>
  <c r="E209" i="1"/>
  <c r="E194" i="1"/>
  <c r="E301" i="1"/>
  <c r="E398" i="1"/>
  <c r="E78" i="1"/>
  <c r="E231" i="1"/>
  <c r="E399" i="1"/>
  <c r="E125" i="1"/>
  <c r="E324" i="1"/>
  <c r="E375" i="1"/>
  <c r="E254" i="1"/>
  <c r="E157" i="1"/>
  <c r="E142" i="1"/>
  <c r="E200" i="1"/>
  <c r="E195" i="1"/>
  <c r="E127" i="1"/>
  <c r="E161" i="1"/>
  <c r="E101" i="1"/>
  <c r="E6" i="1"/>
  <c r="E302" i="1"/>
  <c r="E232" i="1"/>
  <c r="E75" i="1"/>
  <c r="E44" i="1"/>
  <c r="E233" i="1"/>
  <c r="E303" i="1"/>
  <c r="E345" i="1"/>
  <c r="E55" i="1"/>
  <c r="E128" i="1"/>
  <c r="E268" i="1"/>
  <c r="E151" i="1"/>
  <c r="E18" i="1"/>
  <c r="E234" i="1"/>
  <c r="E123" i="1"/>
  <c r="E28" i="1"/>
  <c r="E415" i="1"/>
  <c r="E325" i="1"/>
  <c r="E37" i="1"/>
  <c r="E65" i="1"/>
  <c r="E286" i="1"/>
  <c r="E91" i="1"/>
  <c r="E60" i="1"/>
  <c r="E51" i="1"/>
  <c r="E72" i="1"/>
  <c r="E119" i="1"/>
  <c r="E13" i="1"/>
  <c r="E19" i="1"/>
  <c r="E255" i="1"/>
  <c r="E87" i="1"/>
  <c r="E269" i="1"/>
  <c r="E41" i="1"/>
  <c r="E242" i="1"/>
  <c r="E326" i="1"/>
  <c r="E21" i="1"/>
  <c r="E346" i="1"/>
  <c r="E129" i="1"/>
  <c r="E304" i="1"/>
  <c r="E89" i="1"/>
  <c r="E34" i="1"/>
  <c r="E204" i="1"/>
  <c r="E243" i="1"/>
  <c r="E4" i="1"/>
  <c r="E126" i="1"/>
  <c r="E218" i="1"/>
  <c r="E256" i="1"/>
  <c r="E257" i="1"/>
  <c r="E196" i="1"/>
  <c r="E113" i="1"/>
  <c r="E219" i="1"/>
  <c r="E58" i="1"/>
  <c r="E30" i="1"/>
  <c r="E376" i="1"/>
  <c r="E347" i="1"/>
  <c r="E148" i="1"/>
  <c r="E158" i="1"/>
  <c r="E26" i="1"/>
  <c r="E117" i="1"/>
  <c r="E149" i="1"/>
  <c r="E33" i="1"/>
  <c r="E141" i="1"/>
  <c r="E181" i="1"/>
  <c r="E220" i="1"/>
  <c r="E235" i="1"/>
  <c r="E31" i="1"/>
  <c r="E190" i="1"/>
  <c r="E165" i="1"/>
  <c r="E244" i="1"/>
  <c r="E139" i="1"/>
  <c r="E132" i="1"/>
  <c r="E221" i="1"/>
  <c r="E348" i="1"/>
  <c r="E102" i="1"/>
  <c r="E245" i="1"/>
  <c r="E205" i="1"/>
  <c r="E12" i="1"/>
  <c r="E172" i="1"/>
  <c r="E112" i="1"/>
  <c r="E206" i="1"/>
  <c r="E400" i="1"/>
  <c r="E173" i="1"/>
  <c r="E135" i="1"/>
  <c r="E305" i="1"/>
  <c r="E246" i="1"/>
  <c r="E136" i="1"/>
  <c r="E74" i="1"/>
  <c r="E94" i="1"/>
  <c r="E105" i="1"/>
  <c r="E143" i="1"/>
  <c r="E174" i="1"/>
  <c r="E377" i="1"/>
  <c r="E207" i="1"/>
  <c r="E247" i="1"/>
  <c r="E96" i="1"/>
  <c r="E166" i="1"/>
  <c r="E222" i="1"/>
  <c r="E68" i="1"/>
  <c r="E287" i="1"/>
  <c r="E59" i="1"/>
  <c r="E35" i="1"/>
  <c r="E53" i="1"/>
  <c r="E69" i="1"/>
  <c r="E110" i="1"/>
  <c r="E288" i="1"/>
  <c r="E80" i="1"/>
  <c r="E378" i="1"/>
  <c r="E349" i="1"/>
  <c r="E61" i="1"/>
  <c r="E145" i="1"/>
  <c r="E270" i="1"/>
  <c r="E36" i="1"/>
  <c r="E306" i="1"/>
  <c r="E175" i="1"/>
  <c r="E159" i="1"/>
  <c r="E160" i="1"/>
  <c r="E210" i="1"/>
  <c r="E379" i="1"/>
  <c r="E401" i="1"/>
  <c r="E289" i="1"/>
  <c r="E307" i="1"/>
  <c r="E223" i="1"/>
  <c r="E258" i="1"/>
  <c r="E201" i="1"/>
  <c r="E290" i="1"/>
  <c r="E350" i="1"/>
  <c r="E351" i="1"/>
  <c r="E182" i="1"/>
  <c r="E197" i="1"/>
  <c r="E140" i="1"/>
  <c r="E271" i="1"/>
  <c r="E402" i="1"/>
  <c r="E82" i="1"/>
  <c r="E352" i="1"/>
  <c r="E124" i="1"/>
  <c r="E259" i="1"/>
  <c r="E416" i="1"/>
  <c r="E48" i="1"/>
  <c r="E403" i="1"/>
  <c r="E380" i="1"/>
  <c r="E224" i="1"/>
  <c r="E327" i="1"/>
  <c r="E291" i="1"/>
  <c r="E2" i="1"/>
  <c r="E225" i="1"/>
  <c r="E64" i="1"/>
  <c r="E328" i="1"/>
  <c r="E353" i="1"/>
  <c r="E292" i="1"/>
  <c r="E66" i="1"/>
  <c r="E439" i="1"/>
  <c r="E260" i="1"/>
  <c r="E354" i="1"/>
  <c r="E308" i="1"/>
  <c r="E417" i="1"/>
  <c r="E183" i="1"/>
  <c r="E440" i="1"/>
  <c r="E43" i="1"/>
  <c r="E441" i="1"/>
  <c r="E329" i="1"/>
  <c r="E418" i="1"/>
  <c r="E38" i="1"/>
  <c r="E191" i="1"/>
  <c r="E5" i="1"/>
  <c r="E226" i="1"/>
  <c r="E330" i="1"/>
  <c r="E381" i="1"/>
  <c r="E309" i="1"/>
  <c r="E310" i="1"/>
  <c r="E293" i="1"/>
  <c r="E382" i="1"/>
  <c r="E192" i="1"/>
  <c r="E118" i="1"/>
  <c r="E331" i="1"/>
  <c r="E236" i="1"/>
  <c r="E332" i="1"/>
  <c r="E272" i="1"/>
  <c r="E261" i="1"/>
  <c r="E176" i="1"/>
  <c r="E404" i="1"/>
  <c r="E333" i="1"/>
  <c r="E144" i="1"/>
  <c r="E193" i="1"/>
  <c r="E57" i="1"/>
  <c r="E137" i="1"/>
  <c r="E202" i="1"/>
  <c r="E237" i="1"/>
  <c r="E311" i="1"/>
  <c r="E177" i="1"/>
  <c r="E227" i="1"/>
  <c r="E273" i="1"/>
  <c r="E24" i="1"/>
  <c r="E419" i="1"/>
  <c r="E355" i="1"/>
  <c r="E334" i="1"/>
  <c r="E184" i="1"/>
  <c r="E20" i="1"/>
  <c r="E40" i="1"/>
  <c r="E95" i="1"/>
  <c r="E383" i="1"/>
  <c r="E46" i="1"/>
  <c r="E384" i="1"/>
  <c r="E294" i="1"/>
  <c r="E248" i="1"/>
  <c r="E420" i="1"/>
  <c r="E14" i="1"/>
  <c r="E405" i="1"/>
  <c r="E312" i="1"/>
  <c r="E385" i="1"/>
  <c r="E335" i="1"/>
  <c r="E356" i="1"/>
  <c r="E357" i="1"/>
  <c r="E274" i="1"/>
  <c r="E81" i="1"/>
  <c r="E167" i="1"/>
  <c r="E120" i="1"/>
  <c r="E406" i="1"/>
  <c r="E386" i="1"/>
  <c r="E313" i="1"/>
  <c r="E107" i="1"/>
  <c r="E73" i="1"/>
  <c r="E121" i="1"/>
  <c r="E314" i="1"/>
  <c r="E133" i="1"/>
  <c r="E358" i="1"/>
  <c r="E407" i="1"/>
  <c r="E185" i="1"/>
  <c r="E103" i="1"/>
  <c r="E275" i="1"/>
  <c r="E62" i="1"/>
  <c r="E211" i="1"/>
  <c r="E152" i="1"/>
  <c r="E336" i="1"/>
  <c r="E315" i="1"/>
  <c r="E63" i="1"/>
  <c r="E162" i="1"/>
  <c r="E228" i="1"/>
  <c r="E359" i="1"/>
  <c r="E238" i="1"/>
  <c r="E212" i="1"/>
  <c r="E8" i="1"/>
  <c r="E360" i="1"/>
  <c r="E276" i="1"/>
  <c r="E387" i="1"/>
  <c r="E316" i="1"/>
  <c r="E337" i="1"/>
  <c r="E249" i="1"/>
  <c r="E186" i="1"/>
  <c r="E168" i="1"/>
  <c r="E277" i="1"/>
  <c r="E239" i="1"/>
  <c r="E408" i="1"/>
  <c r="E146" i="1"/>
  <c r="E187" i="1"/>
  <c r="E278" i="1"/>
  <c r="E361" i="1"/>
  <c r="E279" i="1"/>
  <c r="E362" i="1"/>
  <c r="E409" i="1"/>
  <c r="E83" i="1"/>
  <c r="E280" i="1"/>
  <c r="E281" i="1"/>
  <c r="E178" i="1"/>
  <c r="E203" i="1"/>
  <c r="E52" i="1"/>
  <c r="E213" i="1"/>
  <c r="E388" i="1"/>
  <c r="E29" i="1"/>
  <c r="E317" i="1"/>
  <c r="E295" i="1"/>
  <c r="E262" i="1"/>
  <c r="E363" i="1"/>
  <c r="E16" i="1"/>
  <c r="E389" i="1"/>
  <c r="E229" i="1"/>
  <c r="E67" i="1"/>
  <c r="E198" i="1"/>
  <c r="E56" i="1"/>
  <c r="E134" i="1"/>
  <c r="E390" i="1"/>
  <c r="E32" i="1"/>
  <c r="E88" i="1"/>
  <c r="E179" i="1"/>
  <c r="E10" i="1"/>
  <c r="E45" i="1"/>
  <c r="E214" i="1"/>
  <c r="E22" i="1"/>
  <c r="E70" i="1"/>
  <c r="E90" i="1"/>
  <c r="E3" i="1"/>
  <c r="E153" i="1"/>
  <c r="E364" i="1"/>
  <c r="E263" i="1"/>
  <c r="E318" i="1"/>
  <c r="E17" i="1"/>
  <c r="E264" i="1"/>
  <c r="E296" i="1"/>
  <c r="E319" i="1"/>
  <c r="E122" i="1"/>
  <c r="E250" i="1"/>
  <c r="E421" i="1"/>
  <c r="E422" i="1"/>
  <c r="E338" i="1"/>
  <c r="E169" i="1"/>
  <c r="E282" i="1"/>
  <c r="E365" i="1"/>
  <c r="E442" i="1"/>
  <c r="E423" i="1"/>
  <c r="E15" i="1"/>
  <c r="E42" i="1"/>
  <c r="E410" i="1"/>
  <c r="E424" i="1"/>
  <c r="E131" i="1"/>
  <c r="E366" i="1"/>
  <c r="E443" i="1"/>
  <c r="E367" i="1"/>
  <c r="E76" i="1"/>
  <c r="E368" i="1"/>
  <c r="E411" i="1"/>
  <c r="E9" i="1"/>
  <c r="E50" i="1"/>
  <c r="E391" i="1"/>
  <c r="E369" i="1"/>
  <c r="E370" i="1"/>
  <c r="E412" i="1"/>
  <c r="E392" i="1"/>
  <c r="E92" i="1"/>
  <c r="E339" i="1"/>
  <c r="E371" i="1"/>
  <c r="E320" i="1"/>
  <c r="E340" i="1"/>
  <c r="E372" i="1"/>
  <c r="E321" i="1"/>
  <c r="E393" i="1"/>
  <c r="E297" i="1"/>
  <c r="E341" i="1"/>
  <c r="E298" i="1"/>
  <c r="E84" i="1"/>
  <c r="E425" i="1"/>
  <c r="E27" i="1"/>
  <c r="E215" i="1"/>
  <c r="E180" i="1"/>
  <c r="E99" i="1"/>
  <c r="E265" i="1"/>
  <c r="E216" i="1"/>
  <c r="E444" i="1"/>
  <c r="E240" i="1"/>
  <c r="E459" i="1"/>
  <c r="E445" i="1"/>
  <c r="E426" i="1"/>
  <c r="E97" i="1"/>
  <c r="E155" i="1"/>
  <c r="E394" i="1"/>
  <c r="E93" i="1"/>
  <c r="E373" i="1"/>
  <c r="E111" i="1"/>
  <c r="E71" i="1"/>
  <c r="E54" i="1"/>
  <c r="E427" i="1"/>
  <c r="E428" i="1"/>
  <c r="E208" i="1"/>
  <c r="E322" i="1"/>
  <c r="E460" i="1"/>
  <c r="E395" i="1"/>
  <c r="E413" i="1"/>
  <c r="E429" i="1"/>
  <c r="E461" i="1"/>
  <c r="E462" i="1"/>
  <c r="E463" i="1"/>
  <c r="E430" i="1"/>
  <c r="E446" i="1"/>
  <c r="E431" i="1"/>
  <c r="E464" i="1"/>
  <c r="E447" i="1"/>
  <c r="E432" i="1"/>
  <c r="E465" i="1"/>
  <c r="E448" i="1"/>
  <c r="E433" i="1"/>
  <c r="E434" i="1"/>
  <c r="E241" i="1"/>
  <c r="E116" i="1"/>
  <c r="E466" i="1"/>
  <c r="E163" i="1"/>
  <c r="E449" i="1"/>
  <c r="E467" i="1"/>
  <c r="E147" i="1"/>
  <c r="E450" i="1"/>
  <c r="E451" i="1"/>
  <c r="E468" i="1"/>
  <c r="E452" i="1"/>
  <c r="E188" i="1"/>
  <c r="E25" i="1"/>
  <c r="E100" i="1"/>
  <c r="E7" i="1"/>
  <c r="E469" i="1"/>
  <c r="E470" i="1"/>
  <c r="E98" i="1"/>
  <c r="E85" i="1"/>
  <c r="E471" i="1"/>
  <c r="E472" i="1"/>
  <c r="E473" i="1"/>
  <c r="E474" i="1"/>
  <c r="E108" i="1"/>
  <c r="E453" i="1"/>
  <c r="E454" i="1"/>
  <c r="E455" i="1"/>
  <c r="E435" i="1"/>
  <c r="E154" i="1"/>
  <c r="E114" i="1"/>
  <c r="E456" i="1"/>
  <c r="E199" i="1"/>
  <c r="E457" i="1"/>
  <c r="E47" i="1"/>
  <c r="E475" i="1"/>
  <c r="E79" i="1"/>
  <c r="E436" i="1"/>
  <c r="E342" i="1"/>
  <c r="E189" i="1"/>
  <c r="G189" i="1"/>
  <c r="G342" i="1"/>
  <c r="G436" i="1"/>
  <c r="G79" i="1"/>
  <c r="G475" i="1"/>
  <c r="G47" i="1"/>
  <c r="G457" i="1"/>
  <c r="G199" i="1"/>
  <c r="G456" i="1"/>
  <c r="G114" i="1"/>
  <c r="G154" i="1"/>
  <c r="G435" i="1"/>
  <c r="G455" i="1"/>
  <c r="G454" i="1"/>
  <c r="G453" i="1"/>
  <c r="G108" i="1"/>
  <c r="G474" i="1"/>
  <c r="G473" i="1"/>
  <c r="G472" i="1"/>
  <c r="G471" i="1"/>
  <c r="G85" i="1"/>
  <c r="G98" i="1"/>
  <c r="G470" i="1"/>
  <c r="G469" i="1"/>
  <c r="G7" i="1"/>
  <c r="G100" i="1"/>
  <c r="G25" i="1"/>
  <c r="G188" i="1"/>
  <c r="G452" i="1"/>
  <c r="G468" i="1"/>
  <c r="G451" i="1"/>
  <c r="G450" i="1"/>
  <c r="G147" i="1"/>
  <c r="G467" i="1"/>
  <c r="G449" i="1"/>
  <c r="G163" i="1"/>
  <c r="G466" i="1"/>
  <c r="G116" i="1"/>
  <c r="G241" i="1"/>
  <c r="G434" i="1"/>
  <c r="G433" i="1"/>
  <c r="G448" i="1"/>
  <c r="G465" i="1"/>
  <c r="G432" i="1"/>
  <c r="G447" i="1"/>
  <c r="G464" i="1"/>
  <c r="G431" i="1"/>
  <c r="G446" i="1"/>
  <c r="G430" i="1"/>
  <c r="G463" i="1"/>
  <c r="G462" i="1"/>
  <c r="G461" i="1"/>
  <c r="G429" i="1"/>
  <c r="G413" i="1"/>
  <c r="G395" i="1"/>
  <c r="G460" i="1"/>
  <c r="G322" i="1"/>
  <c r="G208" i="1"/>
  <c r="G428" i="1"/>
  <c r="G427" i="1"/>
  <c r="G54" i="1"/>
  <c r="G71" i="1"/>
  <c r="G111" i="1"/>
  <c r="G373" i="1"/>
  <c r="G93" i="1"/>
  <c r="G394" i="1"/>
  <c r="G155" i="1"/>
  <c r="G97" i="1"/>
  <c r="G426" i="1"/>
  <c r="G445" i="1"/>
  <c r="G459" i="1"/>
  <c r="G240" i="1"/>
  <c r="G444" i="1"/>
  <c r="G216" i="1"/>
  <c r="G265" i="1"/>
  <c r="G99" i="1"/>
  <c r="G180" i="1"/>
  <c r="G215" i="1"/>
  <c r="G27" i="1"/>
  <c r="G425" i="1"/>
  <c r="G84" i="1"/>
  <c r="G298" i="1"/>
  <c r="G341" i="1"/>
  <c r="G297" i="1"/>
  <c r="G393" i="1"/>
  <c r="G321" i="1"/>
  <c r="G372" i="1"/>
  <c r="G340" i="1"/>
  <c r="G320" i="1"/>
  <c r="G371" i="1"/>
  <c r="G339" i="1"/>
  <c r="G92" i="1"/>
  <c r="G392" i="1"/>
  <c r="G412" i="1"/>
  <c r="G370" i="1"/>
  <c r="G369" i="1"/>
  <c r="G391" i="1"/>
  <c r="G50" i="1"/>
  <c r="G9" i="1"/>
  <c r="G411" i="1"/>
  <c r="G368" i="1"/>
  <c r="G76" i="1"/>
  <c r="G367" i="1"/>
  <c r="G443" i="1"/>
  <c r="G366" i="1"/>
  <c r="G131" i="1"/>
  <c r="G424" i="1"/>
  <c r="G410" i="1"/>
  <c r="G42" i="1"/>
  <c r="G15" i="1"/>
  <c r="G423" i="1"/>
  <c r="G442" i="1"/>
  <c r="G365" i="1"/>
  <c r="G282" i="1"/>
  <c r="G169" i="1"/>
  <c r="G338" i="1"/>
  <c r="G422" i="1"/>
  <c r="G421" i="1"/>
  <c r="G250" i="1"/>
  <c r="G122" i="1"/>
  <c r="G319" i="1"/>
  <c r="G296" i="1"/>
  <c r="G264" i="1"/>
  <c r="G17" i="1"/>
  <c r="G318" i="1"/>
  <c r="G263" i="1"/>
  <c r="G364" i="1"/>
  <c r="G153" i="1"/>
  <c r="G3" i="1"/>
  <c r="G90" i="1"/>
  <c r="G70" i="1"/>
  <c r="G22" i="1"/>
  <c r="G214" i="1"/>
  <c r="G45" i="1"/>
  <c r="G10" i="1"/>
  <c r="G179" i="1"/>
  <c r="G88" i="1"/>
  <c r="G32" i="1"/>
  <c r="G390" i="1"/>
  <c r="G134" i="1"/>
  <c r="G56" i="1"/>
  <c r="G198" i="1"/>
  <c r="G67" i="1"/>
  <c r="G229" i="1"/>
  <c r="G389" i="1"/>
  <c r="G16" i="1"/>
  <c r="G363" i="1"/>
  <c r="G262" i="1"/>
  <c r="G295" i="1"/>
  <c r="G317" i="1"/>
  <c r="G29" i="1"/>
  <c r="G388" i="1"/>
  <c r="G213" i="1"/>
  <c r="G52" i="1"/>
  <c r="G203" i="1"/>
  <c r="G178" i="1"/>
  <c r="G281" i="1"/>
  <c r="G280" i="1"/>
  <c r="G83" i="1"/>
  <c r="G409" i="1"/>
  <c r="G362" i="1"/>
  <c r="G279" i="1"/>
  <c r="G361" i="1"/>
  <c r="G278" i="1"/>
  <c r="G187" i="1"/>
  <c r="G146" i="1"/>
  <c r="G408" i="1"/>
  <c r="G239" i="1"/>
  <c r="G277" i="1"/>
  <c r="G168" i="1"/>
  <c r="G186" i="1"/>
  <c r="G249" i="1"/>
  <c r="G337" i="1"/>
  <c r="G316" i="1"/>
  <c r="G387" i="1"/>
  <c r="G276" i="1"/>
  <c r="G360" i="1"/>
  <c r="G8" i="1"/>
  <c r="G212" i="1"/>
  <c r="G238" i="1"/>
  <c r="G359" i="1"/>
  <c r="G228" i="1"/>
  <c r="G162" i="1"/>
  <c r="G63" i="1"/>
  <c r="G315" i="1"/>
  <c r="G336" i="1"/>
  <c r="G152" i="1"/>
  <c r="G211" i="1"/>
  <c r="G62" i="1"/>
  <c r="G275" i="1"/>
  <c r="G103" i="1"/>
  <c r="G185" i="1"/>
  <c r="G407" i="1"/>
  <c r="G358" i="1"/>
  <c r="G133" i="1"/>
  <c r="G314" i="1"/>
  <c r="G121" i="1"/>
  <c r="G73" i="1"/>
  <c r="G107" i="1"/>
  <c r="G313" i="1"/>
  <c r="G386" i="1"/>
  <c r="G406" i="1"/>
  <c r="G120" i="1"/>
  <c r="G167" i="1"/>
  <c r="G81" i="1"/>
  <c r="G274" i="1"/>
  <c r="G357" i="1"/>
  <c r="G356" i="1"/>
  <c r="G335" i="1"/>
  <c r="G385" i="1"/>
  <c r="G312" i="1"/>
  <c r="G405" i="1"/>
  <c r="G14" i="1"/>
  <c r="G420" i="1"/>
  <c r="G248" i="1"/>
  <c r="G294" i="1"/>
  <c r="G384" i="1"/>
  <c r="G46" i="1"/>
  <c r="G383" i="1"/>
  <c r="G95" i="1"/>
  <c r="G40" i="1"/>
  <c r="G20" i="1"/>
  <c r="G184" i="1"/>
  <c r="G334" i="1"/>
  <c r="G355" i="1"/>
  <c r="G419" i="1"/>
  <c r="G24" i="1"/>
  <c r="G273" i="1"/>
  <c r="G227" i="1"/>
  <c r="G177" i="1"/>
  <c r="G311" i="1"/>
  <c r="G237" i="1"/>
  <c r="G202" i="1"/>
  <c r="G137" i="1"/>
  <c r="G57" i="1"/>
  <c r="G193" i="1"/>
  <c r="G144" i="1"/>
  <c r="G333" i="1"/>
  <c r="G404" i="1"/>
  <c r="G176" i="1"/>
  <c r="G261" i="1"/>
  <c r="G272" i="1"/>
  <c r="G332" i="1"/>
  <c r="G236" i="1"/>
  <c r="G331" i="1"/>
  <c r="G118" i="1"/>
  <c r="G192" i="1"/>
  <c r="G382" i="1"/>
  <c r="G293" i="1"/>
  <c r="G310" i="1"/>
  <c r="G309" i="1"/>
  <c r="G381" i="1"/>
  <c r="G330" i="1"/>
  <c r="G226" i="1"/>
  <c r="G5" i="1"/>
  <c r="G191" i="1"/>
  <c r="G38" i="1"/>
  <c r="G418" i="1"/>
  <c r="G329" i="1"/>
  <c r="G441" i="1"/>
  <c r="G43" i="1"/>
  <c r="G440" i="1"/>
  <c r="G183" i="1"/>
  <c r="G417" i="1"/>
  <c r="G308" i="1"/>
  <c r="G354" i="1"/>
  <c r="G260" i="1"/>
  <c r="G439" i="1"/>
  <c r="G66" i="1"/>
  <c r="G292" i="1"/>
  <c r="G353" i="1"/>
  <c r="G328" i="1"/>
  <c r="G64" i="1"/>
  <c r="G225" i="1"/>
  <c r="G2" i="1"/>
  <c r="G291" i="1"/>
  <c r="G327" i="1"/>
  <c r="G224" i="1"/>
  <c r="G380" i="1"/>
  <c r="G403" i="1"/>
  <c r="G48" i="1"/>
  <c r="G416" i="1"/>
  <c r="G259" i="1"/>
  <c r="G124" i="1"/>
  <c r="G352" i="1"/>
  <c r="G82" i="1"/>
  <c r="G402" i="1"/>
  <c r="G271" i="1"/>
  <c r="G140" i="1"/>
  <c r="G197" i="1"/>
  <c r="G182" i="1"/>
  <c r="G351" i="1"/>
  <c r="G350" i="1"/>
  <c r="G290" i="1"/>
  <c r="G201" i="1"/>
  <c r="G258" i="1"/>
  <c r="G223" i="1"/>
  <c r="G307" i="1"/>
  <c r="G289" i="1"/>
  <c r="G401" i="1"/>
  <c r="G379" i="1"/>
  <c r="G210" i="1"/>
  <c r="G160" i="1"/>
  <c r="G159" i="1"/>
  <c r="G175" i="1"/>
  <c r="G306" i="1"/>
  <c r="G36" i="1"/>
  <c r="G270" i="1"/>
  <c r="G145" i="1"/>
  <c r="G61" i="1"/>
  <c r="G349" i="1"/>
  <c r="G378" i="1"/>
  <c r="G80" i="1"/>
  <c r="G288" i="1"/>
  <c r="G110" i="1"/>
  <c r="G69" i="1"/>
  <c r="G53" i="1"/>
  <c r="G35" i="1"/>
  <c r="G59" i="1"/>
  <c r="G287" i="1"/>
  <c r="G68" i="1"/>
  <c r="G222" i="1"/>
  <c r="G166" i="1"/>
  <c r="G96" i="1"/>
  <c r="G247" i="1"/>
  <c r="G207" i="1"/>
  <c r="G377" i="1"/>
  <c r="G174" i="1"/>
  <c r="G143" i="1"/>
  <c r="G105" i="1"/>
  <c r="G94" i="1"/>
  <c r="G74" i="1"/>
  <c r="G136" i="1"/>
  <c r="G246" i="1"/>
  <c r="G305" i="1"/>
  <c r="G135" i="1"/>
  <c r="G173" i="1"/>
  <c r="G400" i="1"/>
  <c r="G206" i="1"/>
  <c r="G112" i="1"/>
  <c r="G172" i="1"/>
  <c r="G12" i="1"/>
  <c r="G205" i="1"/>
  <c r="G245" i="1"/>
  <c r="G102" i="1"/>
  <c r="G348" i="1"/>
  <c r="G221" i="1"/>
  <c r="G132" i="1"/>
  <c r="G139" i="1"/>
  <c r="G244" i="1"/>
  <c r="G165" i="1"/>
  <c r="G190" i="1"/>
  <c r="G31" i="1"/>
  <c r="G235" i="1"/>
  <c r="G220" i="1"/>
  <c r="G181" i="1"/>
  <c r="G141" i="1"/>
  <c r="G33" i="1"/>
  <c r="G149" i="1"/>
  <c r="G117" i="1"/>
  <c r="G26" i="1"/>
  <c r="G158" i="1"/>
  <c r="G148" i="1"/>
  <c r="G347" i="1"/>
  <c r="G376" i="1"/>
  <c r="G30" i="1"/>
  <c r="G58" i="1"/>
  <c r="G219" i="1"/>
  <c r="G113" i="1"/>
  <c r="G196" i="1"/>
  <c r="G257" i="1"/>
  <c r="G256" i="1"/>
  <c r="G218" i="1"/>
  <c r="G126" i="1"/>
  <c r="G4" i="1"/>
  <c r="G243" i="1"/>
  <c r="G204" i="1"/>
  <c r="G34" i="1"/>
  <c r="G89" i="1"/>
  <c r="G304" i="1"/>
  <c r="G129" i="1"/>
  <c r="G346" i="1"/>
  <c r="G21" i="1"/>
  <c r="G326" i="1"/>
  <c r="G242" i="1"/>
  <c r="G41" i="1"/>
  <c r="G269" i="1"/>
  <c r="G87" i="1"/>
  <c r="G255" i="1"/>
  <c r="G19" i="1"/>
  <c r="G13" i="1"/>
  <c r="G119" i="1"/>
  <c r="G72" i="1"/>
  <c r="G51" i="1"/>
  <c r="G60" i="1"/>
  <c r="G91" i="1"/>
  <c r="G286" i="1"/>
  <c r="G65" i="1"/>
  <c r="G37" i="1"/>
  <c r="G325" i="1"/>
  <c r="G415" i="1"/>
  <c r="G28" i="1"/>
  <c r="G123" i="1"/>
  <c r="G234" i="1"/>
  <c r="G18" i="1"/>
  <c r="G151" i="1"/>
  <c r="G268" i="1"/>
  <c r="G128" i="1"/>
  <c r="G55" i="1"/>
  <c r="G345" i="1"/>
  <c r="G303" i="1"/>
  <c r="G233" i="1"/>
  <c r="G44" i="1"/>
  <c r="G75" i="1"/>
  <c r="G232" i="1"/>
  <c r="G302" i="1"/>
  <c r="G6" i="1"/>
  <c r="G101" i="1"/>
  <c r="G161" i="1"/>
  <c r="G127" i="1"/>
  <c r="G195" i="1"/>
  <c r="G200" i="1"/>
  <c r="G142" i="1"/>
  <c r="G157" i="1"/>
  <c r="G254" i="1"/>
  <c r="G375" i="1"/>
  <c r="G324" i="1"/>
  <c r="G125" i="1"/>
  <c r="G399" i="1"/>
  <c r="G231" i="1"/>
  <c r="G78" i="1"/>
  <c r="G398" i="1"/>
  <c r="G301" i="1"/>
  <c r="G194" i="1"/>
  <c r="G209" i="1"/>
  <c r="G344" i="1"/>
  <c r="G104" i="1"/>
  <c r="G285" i="1"/>
  <c r="G11" i="1"/>
  <c r="G171" i="1"/>
  <c r="G253" i="1"/>
  <c r="G39" i="1"/>
  <c r="G156" i="1"/>
  <c r="G267" i="1"/>
  <c r="G284" i="1"/>
  <c r="G397" i="1"/>
  <c r="G49" i="1"/>
  <c r="G115" i="1"/>
  <c r="G323" i="1"/>
  <c r="G217" i="1"/>
  <c r="G77" i="1"/>
  <c r="G230" i="1"/>
  <c r="G343" i="1"/>
  <c r="G252" i="1"/>
  <c r="G23" i="1"/>
  <c r="G300" i="1"/>
  <c r="G164" i="1"/>
  <c r="G150" i="1"/>
  <c r="G283" i="1"/>
  <c r="G170" i="1"/>
  <c r="G138" i="1"/>
  <c r="G374" i="1"/>
  <c r="G438" i="1"/>
  <c r="G437" i="1"/>
  <c r="G251" i="1"/>
  <c r="G109" i="1"/>
  <c r="G106" i="1"/>
  <c r="G414" i="1"/>
  <c r="G130" i="1"/>
  <c r="G86" i="1"/>
  <c r="G299" i="1"/>
  <c r="G396" i="1"/>
  <c r="G266" i="1"/>
  <c r="G458" i="1"/>
  <c r="D130" i="1"/>
  <c r="D86" i="1"/>
  <c r="D299" i="1"/>
  <c r="D396" i="1"/>
  <c r="D266" i="1"/>
  <c r="D414" i="1"/>
  <c r="D106" i="1"/>
  <c r="D109" i="1"/>
  <c r="D251" i="1"/>
  <c r="D437" i="1"/>
  <c r="D438" i="1"/>
  <c r="D374" i="1"/>
  <c r="D138" i="1"/>
  <c r="D170" i="1"/>
  <c r="D283" i="1"/>
  <c r="D150" i="1"/>
  <c r="D164" i="1"/>
  <c r="D300" i="1"/>
  <c r="D23" i="1"/>
  <c r="D252" i="1"/>
  <c r="D343" i="1"/>
  <c r="D230" i="1"/>
  <c r="D77" i="1"/>
  <c r="D217" i="1"/>
  <c r="D323" i="1"/>
  <c r="D115" i="1"/>
  <c r="D49" i="1"/>
  <c r="D397" i="1"/>
  <c r="D284" i="1"/>
  <c r="D267" i="1"/>
  <c r="D156" i="1"/>
  <c r="D39" i="1"/>
  <c r="D253" i="1"/>
  <c r="D171" i="1"/>
  <c r="D11" i="1"/>
  <c r="D285" i="1"/>
  <c r="D104" i="1"/>
  <c r="D344" i="1"/>
  <c r="D209" i="1"/>
  <c r="D194" i="1"/>
  <c r="D301" i="1"/>
  <c r="D398" i="1"/>
  <c r="D78" i="1"/>
  <c r="D231" i="1"/>
  <c r="D399" i="1"/>
  <c r="D125" i="1"/>
  <c r="D324" i="1"/>
  <c r="D375" i="1"/>
  <c r="D254" i="1"/>
  <c r="D157" i="1"/>
  <c r="D142" i="1"/>
  <c r="D200" i="1"/>
  <c r="D195" i="1"/>
  <c r="D127" i="1"/>
  <c r="D161" i="1"/>
  <c r="D101" i="1"/>
  <c r="D6" i="1"/>
  <c r="D302" i="1"/>
  <c r="D232" i="1"/>
  <c r="D75" i="1"/>
  <c r="D44" i="1"/>
  <c r="D233" i="1"/>
  <c r="D303" i="1"/>
  <c r="D345" i="1"/>
  <c r="D55" i="1"/>
  <c r="D128" i="1"/>
  <c r="D268" i="1"/>
  <c r="D151" i="1"/>
  <c r="D18" i="1"/>
  <c r="D234" i="1"/>
  <c r="D123" i="1"/>
  <c r="D28" i="1"/>
  <c r="D415" i="1"/>
  <c r="D325" i="1"/>
  <c r="D37" i="1"/>
  <c r="D65" i="1"/>
  <c r="D286" i="1"/>
  <c r="D91" i="1"/>
  <c r="D60" i="1"/>
  <c r="D51" i="1"/>
  <c r="D72" i="1"/>
  <c r="D119" i="1"/>
  <c r="D13" i="1"/>
  <c r="D19" i="1"/>
  <c r="D255" i="1"/>
  <c r="D87" i="1"/>
  <c r="D269" i="1"/>
  <c r="D41" i="1"/>
  <c r="D242" i="1"/>
  <c r="D326" i="1"/>
  <c r="D21" i="1"/>
  <c r="D346" i="1"/>
  <c r="D129" i="1"/>
  <c r="D304" i="1"/>
  <c r="D89" i="1"/>
  <c r="D34" i="1"/>
  <c r="D204" i="1"/>
  <c r="D243" i="1"/>
  <c r="D4" i="1"/>
  <c r="D126" i="1"/>
  <c r="D218" i="1"/>
  <c r="D256" i="1"/>
  <c r="D257" i="1"/>
  <c r="D196" i="1"/>
  <c r="D113" i="1"/>
  <c r="D219" i="1"/>
  <c r="D58" i="1"/>
  <c r="D30" i="1"/>
  <c r="D376" i="1"/>
  <c r="D347" i="1"/>
  <c r="D148" i="1"/>
  <c r="D158" i="1"/>
  <c r="D26" i="1"/>
  <c r="D117" i="1"/>
  <c r="D149" i="1"/>
  <c r="D33" i="1"/>
  <c r="D141" i="1"/>
  <c r="D181" i="1"/>
  <c r="D220" i="1"/>
  <c r="D235" i="1"/>
  <c r="D31" i="1"/>
  <c r="D190" i="1"/>
  <c r="D165" i="1"/>
  <c r="D244" i="1"/>
  <c r="D139" i="1"/>
  <c r="D132" i="1"/>
  <c r="D221" i="1"/>
  <c r="D348" i="1"/>
  <c r="D102" i="1"/>
  <c r="D245" i="1"/>
  <c r="D205" i="1"/>
  <c r="D12" i="1"/>
  <c r="D172" i="1"/>
  <c r="D112" i="1"/>
  <c r="D206" i="1"/>
  <c r="D400" i="1"/>
  <c r="D173" i="1"/>
  <c r="D135" i="1"/>
  <c r="D305" i="1"/>
  <c r="D246" i="1"/>
  <c r="D136" i="1"/>
  <c r="D74" i="1"/>
  <c r="D94" i="1"/>
  <c r="D105" i="1"/>
  <c r="D143" i="1"/>
  <c r="D174" i="1"/>
  <c r="D377" i="1"/>
  <c r="D207" i="1"/>
  <c r="D247" i="1"/>
  <c r="D96" i="1"/>
  <c r="D166" i="1"/>
  <c r="D222" i="1"/>
  <c r="D68" i="1"/>
  <c r="D287" i="1"/>
  <c r="D59" i="1"/>
  <c r="D35" i="1"/>
  <c r="D53" i="1"/>
  <c r="D69" i="1"/>
  <c r="D110" i="1"/>
  <c r="D288" i="1"/>
  <c r="D80" i="1"/>
  <c r="D378" i="1"/>
  <c r="D349" i="1"/>
  <c r="D61" i="1"/>
  <c r="D145" i="1"/>
  <c r="D270" i="1"/>
  <c r="D36" i="1"/>
  <c r="D306" i="1"/>
  <c r="D175" i="1"/>
  <c r="D159" i="1"/>
  <c r="D160" i="1"/>
  <c r="D210" i="1"/>
  <c r="D379" i="1"/>
  <c r="D401" i="1"/>
  <c r="D289" i="1"/>
  <c r="D307" i="1"/>
  <c r="D223" i="1"/>
  <c r="D258" i="1"/>
  <c r="D201" i="1"/>
  <c r="D290" i="1"/>
  <c r="D350" i="1"/>
  <c r="D351" i="1"/>
  <c r="D182" i="1"/>
  <c r="D197" i="1"/>
  <c r="D140" i="1"/>
  <c r="D271" i="1"/>
  <c r="D402" i="1"/>
  <c r="D82" i="1"/>
  <c r="D352" i="1"/>
  <c r="D124" i="1"/>
  <c r="D259" i="1"/>
  <c r="D416" i="1"/>
  <c r="D48" i="1"/>
  <c r="D403" i="1"/>
  <c r="D380" i="1"/>
  <c r="D224" i="1"/>
  <c r="D327" i="1"/>
  <c r="D291" i="1"/>
  <c r="D2" i="1"/>
  <c r="D225" i="1"/>
  <c r="D64" i="1"/>
  <c r="D328" i="1"/>
  <c r="D353" i="1"/>
  <c r="D292" i="1"/>
  <c r="D66" i="1"/>
  <c r="D439" i="1"/>
  <c r="D260" i="1"/>
  <c r="D354" i="1"/>
  <c r="D308" i="1"/>
  <c r="D417" i="1"/>
  <c r="D183" i="1"/>
  <c r="D440" i="1"/>
  <c r="D43" i="1"/>
  <c r="D441" i="1"/>
  <c r="D329" i="1"/>
  <c r="D418" i="1"/>
  <c r="D38" i="1"/>
  <c r="D191" i="1"/>
  <c r="D5" i="1"/>
  <c r="D226" i="1"/>
  <c r="D330" i="1"/>
  <c r="D381" i="1"/>
  <c r="D309" i="1"/>
  <c r="D310" i="1"/>
  <c r="D293" i="1"/>
  <c r="D382" i="1"/>
  <c r="D192" i="1"/>
  <c r="D118" i="1"/>
  <c r="D331" i="1"/>
  <c r="D236" i="1"/>
  <c r="D332" i="1"/>
  <c r="D272" i="1"/>
  <c r="D261" i="1"/>
  <c r="D176" i="1"/>
  <c r="D404" i="1"/>
  <c r="D333" i="1"/>
  <c r="D144" i="1"/>
  <c r="D193" i="1"/>
  <c r="D57" i="1"/>
  <c r="D137" i="1"/>
  <c r="D202" i="1"/>
  <c r="D237" i="1"/>
  <c r="D311" i="1"/>
  <c r="D177" i="1"/>
  <c r="D227" i="1"/>
  <c r="D273" i="1"/>
  <c r="D24" i="1"/>
  <c r="D419" i="1"/>
  <c r="D355" i="1"/>
  <c r="D334" i="1"/>
  <c r="D184" i="1"/>
  <c r="D20" i="1"/>
  <c r="D40" i="1"/>
  <c r="D95" i="1"/>
  <c r="D383" i="1"/>
  <c r="D46" i="1"/>
  <c r="D384" i="1"/>
  <c r="D294" i="1"/>
  <c r="D248" i="1"/>
  <c r="D420" i="1"/>
  <c r="D14" i="1"/>
  <c r="D405" i="1"/>
  <c r="D312" i="1"/>
  <c r="D385" i="1"/>
  <c r="D335" i="1"/>
  <c r="D356" i="1"/>
  <c r="D357" i="1"/>
  <c r="D274" i="1"/>
  <c r="D81" i="1"/>
  <c r="D167" i="1"/>
  <c r="D120" i="1"/>
  <c r="D406" i="1"/>
  <c r="D386" i="1"/>
  <c r="D313" i="1"/>
  <c r="D107" i="1"/>
  <c r="D73" i="1"/>
  <c r="D121" i="1"/>
  <c r="D314" i="1"/>
  <c r="D133" i="1"/>
  <c r="D358" i="1"/>
  <c r="D407" i="1"/>
  <c r="D185" i="1"/>
  <c r="D103" i="1"/>
  <c r="D275" i="1"/>
  <c r="D62" i="1"/>
  <c r="D211" i="1"/>
  <c r="D152" i="1"/>
  <c r="D336" i="1"/>
  <c r="D315" i="1"/>
  <c r="D63" i="1"/>
  <c r="D162" i="1"/>
  <c r="D228" i="1"/>
  <c r="D359" i="1"/>
  <c r="D238" i="1"/>
  <c r="D212" i="1"/>
  <c r="D8" i="1"/>
  <c r="D360" i="1"/>
  <c r="D276" i="1"/>
  <c r="D387" i="1"/>
  <c r="D316" i="1"/>
  <c r="D337" i="1"/>
  <c r="D249" i="1"/>
  <c r="D186" i="1"/>
  <c r="D168" i="1"/>
  <c r="D277" i="1"/>
  <c r="D239" i="1"/>
  <c r="D408" i="1"/>
  <c r="D146" i="1"/>
  <c r="D187" i="1"/>
  <c r="D278" i="1"/>
  <c r="D361" i="1"/>
  <c r="D279" i="1"/>
  <c r="D362" i="1"/>
  <c r="D409" i="1"/>
  <c r="D83" i="1"/>
  <c r="D280" i="1"/>
  <c r="D281" i="1"/>
  <c r="D178" i="1"/>
  <c r="D203" i="1"/>
  <c r="D52" i="1"/>
  <c r="D213" i="1"/>
  <c r="D388" i="1"/>
  <c r="D29" i="1"/>
  <c r="D317" i="1"/>
  <c r="D295" i="1"/>
  <c r="D262" i="1"/>
  <c r="D363" i="1"/>
  <c r="D16" i="1"/>
  <c r="D389" i="1"/>
  <c r="D229" i="1"/>
  <c r="D67" i="1"/>
  <c r="D198" i="1"/>
  <c r="D56" i="1"/>
  <c r="D134" i="1"/>
  <c r="D390" i="1"/>
  <c r="D32" i="1"/>
  <c r="D88" i="1"/>
  <c r="D179" i="1"/>
  <c r="D10" i="1"/>
  <c r="D45" i="1"/>
  <c r="D214" i="1"/>
  <c r="D22" i="1"/>
  <c r="D70" i="1"/>
  <c r="D90" i="1"/>
  <c r="D3" i="1"/>
  <c r="D153" i="1"/>
  <c r="D364" i="1"/>
  <c r="D263" i="1"/>
  <c r="D318" i="1"/>
  <c r="D17" i="1"/>
  <c r="D264" i="1"/>
  <c r="D296" i="1"/>
  <c r="D319" i="1"/>
  <c r="D122" i="1"/>
  <c r="D250" i="1"/>
  <c r="D421" i="1"/>
  <c r="D422" i="1"/>
  <c r="D338" i="1"/>
  <c r="D169" i="1"/>
  <c r="D282" i="1"/>
  <c r="D365" i="1"/>
  <c r="D442" i="1"/>
  <c r="D423" i="1"/>
  <c r="D15" i="1"/>
  <c r="D42" i="1"/>
  <c r="D410" i="1"/>
  <c r="D424" i="1"/>
  <c r="D131" i="1"/>
  <c r="D366" i="1"/>
  <c r="D443" i="1"/>
  <c r="D367" i="1"/>
  <c r="D76" i="1"/>
  <c r="D368" i="1"/>
  <c r="D411" i="1"/>
  <c r="D9" i="1"/>
  <c r="D50" i="1"/>
  <c r="D391" i="1"/>
  <c r="D369" i="1"/>
  <c r="D370" i="1"/>
  <c r="D412" i="1"/>
  <c r="D392" i="1"/>
  <c r="D92" i="1"/>
  <c r="D339" i="1"/>
  <c r="D371" i="1"/>
  <c r="D320" i="1"/>
  <c r="D340" i="1"/>
  <c r="D372" i="1"/>
  <c r="D321" i="1"/>
  <c r="D393" i="1"/>
  <c r="D297" i="1"/>
  <c r="D341" i="1"/>
  <c r="D298" i="1"/>
  <c r="D84" i="1"/>
  <c r="D425" i="1"/>
  <c r="D27" i="1"/>
  <c r="D215" i="1"/>
  <c r="D180" i="1"/>
  <c r="D99" i="1"/>
  <c r="D265" i="1"/>
  <c r="D216" i="1"/>
  <c r="D444" i="1"/>
  <c r="D240" i="1"/>
  <c r="D459" i="1"/>
  <c r="D445" i="1"/>
  <c r="D426" i="1"/>
  <c r="D97" i="1"/>
  <c r="D155" i="1"/>
  <c r="D394" i="1"/>
  <c r="D93" i="1"/>
  <c r="D373" i="1"/>
  <c r="D111" i="1"/>
  <c r="D71" i="1"/>
  <c r="D54" i="1"/>
  <c r="D427" i="1"/>
  <c r="D428" i="1"/>
  <c r="D208" i="1"/>
  <c r="D322" i="1"/>
  <c r="D460" i="1"/>
  <c r="D395" i="1"/>
  <c r="D413" i="1"/>
  <c r="D429" i="1"/>
  <c r="D461" i="1"/>
  <c r="D462" i="1"/>
  <c r="D463" i="1"/>
  <c r="D430" i="1"/>
  <c r="D446" i="1"/>
  <c r="D431" i="1"/>
  <c r="D464" i="1"/>
  <c r="D447" i="1"/>
  <c r="D432" i="1"/>
  <c r="D465" i="1"/>
  <c r="D448" i="1"/>
  <c r="D433" i="1"/>
  <c r="D434" i="1"/>
  <c r="D241" i="1"/>
  <c r="D116" i="1"/>
  <c r="D466" i="1"/>
  <c r="D163" i="1"/>
  <c r="D449" i="1"/>
  <c r="D467" i="1"/>
  <c r="D147" i="1"/>
  <c r="D450" i="1"/>
  <c r="D451" i="1"/>
  <c r="D468" i="1"/>
  <c r="D452" i="1"/>
  <c r="D188" i="1"/>
  <c r="D25" i="1"/>
  <c r="D100" i="1"/>
  <c r="D7" i="1"/>
  <c r="D469" i="1"/>
  <c r="D470" i="1"/>
  <c r="D98" i="1"/>
  <c r="D85" i="1"/>
  <c r="D471" i="1"/>
  <c r="D472" i="1"/>
  <c r="D473" i="1"/>
  <c r="D474" i="1"/>
  <c r="D108" i="1"/>
  <c r="D453" i="1"/>
  <c r="D454" i="1"/>
  <c r="D455" i="1"/>
  <c r="D435" i="1"/>
  <c r="D154" i="1"/>
  <c r="D114" i="1"/>
  <c r="D456" i="1"/>
  <c r="D199" i="1"/>
  <c r="D457" i="1"/>
  <c r="D47" i="1"/>
  <c r="D475" i="1"/>
  <c r="D79" i="1"/>
  <c r="D436" i="1"/>
  <c r="D342" i="1"/>
  <c r="D189" i="1"/>
  <c r="D458" i="1"/>
</calcChain>
</file>

<file path=xl/sharedStrings.xml><?xml version="1.0" encoding="utf-8"?>
<sst xmlns="http://schemas.openxmlformats.org/spreadsheetml/2006/main" count="1077" uniqueCount="527">
  <si>
    <t>Upload Timestamp</t>
  </si>
  <si>
    <t>Post Number</t>
  </si>
  <si>
    <t>Followers</t>
  </si>
  <si>
    <t>Likes</t>
  </si>
  <si>
    <t>Reach</t>
  </si>
  <si>
    <t>Comments</t>
  </si>
  <si>
    <t>Shares</t>
  </si>
  <si>
    <t>Saves</t>
  </si>
  <si>
    <t>Plays</t>
  </si>
  <si>
    <t>Followers Gained</t>
  </si>
  <si>
    <t>Year</t>
  </si>
  <si>
    <t>Feb 26 2025 9:35 pm</t>
  </si>
  <si>
    <t>Feb 25 2025 3:00 pm</t>
  </si>
  <si>
    <t>Feb 24 2025 4:11 pm</t>
  </si>
  <si>
    <t>Feb 22 2025 7:28 am</t>
  </si>
  <si>
    <t>Feb 21 2025 4:56 pm</t>
  </si>
  <si>
    <t>Feb 20 2025 5:39 pm</t>
  </si>
  <si>
    <t>Feb 19 2025 7:55 pm</t>
  </si>
  <si>
    <t>Feb 18 2025 3:25 pm</t>
  </si>
  <si>
    <t>Feb 17 2025 7:04 am</t>
  </si>
  <si>
    <t>Feb 16 2025 4:04 pm</t>
  </si>
  <si>
    <t>Feb 15 2025 5:33 am</t>
  </si>
  <si>
    <t>Feb 14 2025 7:49 pm</t>
  </si>
  <si>
    <t>Feb 13 2025 2:49 pm</t>
  </si>
  <si>
    <t>Feb 12 2025 2:13 pm</t>
  </si>
  <si>
    <t>Feb 11 2025 2:41 pm</t>
  </si>
  <si>
    <t>Feb 10 2025 3:05 pm</t>
  </si>
  <si>
    <t>Feb 09 2025 3:15 pm</t>
  </si>
  <si>
    <t>Feb 08 2025 1:11 pm</t>
  </si>
  <si>
    <t>Feb 07 2025 3:37 pm</t>
  </si>
  <si>
    <t>Feb 06 2025 3:10 pm</t>
  </si>
  <si>
    <t>Feb 05 2025 3:48 pm</t>
  </si>
  <si>
    <t>Feb 04 2025 3:31 pm</t>
  </si>
  <si>
    <t>Feb 03 2025 2:28 pm</t>
  </si>
  <si>
    <t>Feb 02 2025 3:34 pm</t>
  </si>
  <si>
    <t>Feb 01 2025 1:22 pm</t>
  </si>
  <si>
    <t>Jan 31 2025 3:06 pm</t>
  </si>
  <si>
    <t>Jan 30 2025 2:50 pm</t>
  </si>
  <si>
    <t>Jan 29 2025 3:11 pm</t>
  </si>
  <si>
    <t>Jan 28 2025 3:20 pm</t>
  </si>
  <si>
    <t>Jan 27 2025 2:27 pm</t>
  </si>
  <si>
    <t>Jan 26 2025 3:04 pm</t>
  </si>
  <si>
    <t>Jan 25 2025 1:47 pm</t>
  </si>
  <si>
    <t>Jan 24 2025 3:44 pm</t>
  </si>
  <si>
    <t>Jan 23 2025 2:43 pm</t>
  </si>
  <si>
    <t>Jan 22 2025 2:38 pm</t>
  </si>
  <si>
    <t>Jan 21 2025 1:48 pm</t>
  </si>
  <si>
    <t>Jan 20 2025 2:45 pm</t>
  </si>
  <si>
    <t>Jan 19 2025 2:27 pm</t>
  </si>
  <si>
    <t>Jan 18 2025 1:53 pm</t>
  </si>
  <si>
    <t>Jan 17 2025 1:32 pm</t>
  </si>
  <si>
    <t>Jan 16 2025 2:41 pm</t>
  </si>
  <si>
    <t>Jan 15 2025 2:11 pm</t>
  </si>
  <si>
    <t>Jan 14 2025 2:18 pm</t>
  </si>
  <si>
    <t>Jan 13 2025 2:48 pm</t>
  </si>
  <si>
    <t>Jan 12 2025 2:12 pm</t>
  </si>
  <si>
    <t>Jan 11 2025 10:53 am</t>
  </si>
  <si>
    <t>Jan 10 2025 2:54 pm</t>
  </si>
  <si>
    <t>Jan 09 2025 8:42 pm</t>
  </si>
  <si>
    <t>Jan 08 2025 2:31 pm</t>
  </si>
  <si>
    <t>Jan 07 2025 2:40 pm</t>
  </si>
  <si>
    <t>Jan 06 2025 2:48 pm</t>
  </si>
  <si>
    <t>Jan 05 2025 1:25 pm</t>
  </si>
  <si>
    <t>Jan 04 2025 7:18 am</t>
  </si>
  <si>
    <t>Jan 03 2025 2:08 pm</t>
  </si>
  <si>
    <t>Jan 02 2025 2:39 pm</t>
  </si>
  <si>
    <t>Jan 01 2025 1:23 pm</t>
  </si>
  <si>
    <t>Dec 31 2024 2:17 pm</t>
  </si>
  <si>
    <t>Dec 30 2024 1:49 pm</t>
  </si>
  <si>
    <t>Dec 29 2024 2:20 pm</t>
  </si>
  <si>
    <t>Dec 28 2024 1:23 pm</t>
  </si>
  <si>
    <t>Dec 27 2024 1:16 pm</t>
  </si>
  <si>
    <t>Dec 26 2024 1:00 pm</t>
  </si>
  <si>
    <t>Dec 25 2024 1:31 pm</t>
  </si>
  <si>
    <t>Dec 24 2024 1:01 pm</t>
  </si>
  <si>
    <t>Dec 23 2024 1:11 pm</t>
  </si>
  <si>
    <t>Dec 22 2024 12:53 pm</t>
  </si>
  <si>
    <t>Dec 21 2024 12:57 pm</t>
  </si>
  <si>
    <t>Dec 20 2024 6:46 am</t>
  </si>
  <si>
    <t>Dec 19 2024 1:05 pm</t>
  </si>
  <si>
    <t>Dec 18 2024 12:01 pm</t>
  </si>
  <si>
    <t>Dec 17 2024 12:31 pm</t>
  </si>
  <si>
    <t>Dec 16 2024 12:46 pm</t>
  </si>
  <si>
    <t>Dec 15 2024 12:31 pm</t>
  </si>
  <si>
    <t>Dec 14 2024 7:14 am</t>
  </si>
  <si>
    <t>Dec 13 2024 7:13 am</t>
  </si>
  <si>
    <t>Dec 12 2024 1:02 pm</t>
  </si>
  <si>
    <t>Dec 11 2024 1:09 pm</t>
  </si>
  <si>
    <t>Dec 10 2024 1:35 pm</t>
  </si>
  <si>
    <t>Dec 09 2024 1:04 pm</t>
  </si>
  <si>
    <t>Dec 08 2024 12:33 pm</t>
  </si>
  <si>
    <t>Dec 07 2024 6:57 am</t>
  </si>
  <si>
    <t>Dec 06 2024 7:27 am</t>
  </si>
  <si>
    <t>Dec 05 2024 12:47 pm</t>
  </si>
  <si>
    <t>Dec 04 2024 8:36 pm</t>
  </si>
  <si>
    <t>Dec 03 2024 11:23 am</t>
  </si>
  <si>
    <t>Dec 02 2024 11:21 am</t>
  </si>
  <si>
    <t>Dec 01 2024 1:09 pm</t>
  </si>
  <si>
    <t>Nov 30 2024 12:44 pm</t>
  </si>
  <si>
    <t>Nov 29 2024 7:26 am</t>
  </si>
  <si>
    <t>Nov 28 2024 1:20 pm</t>
  </si>
  <si>
    <t>Nov 27 2024 7:07 am</t>
  </si>
  <si>
    <t>Nov 26 2024 1:22 pm</t>
  </si>
  <si>
    <t>Nov 25 2024 1:10 pm</t>
  </si>
  <si>
    <t>Nov 24 2024 12:16 pm</t>
  </si>
  <si>
    <t>Nov 23 2024 2:01 pm</t>
  </si>
  <si>
    <t>Nov 22 2024 1:57 pm</t>
  </si>
  <si>
    <t>Nov 21 2024 11:21 am</t>
  </si>
  <si>
    <t>Nov 20 2024 12:46 pm</t>
  </si>
  <si>
    <t>Nov 19 2024 7:24 am</t>
  </si>
  <si>
    <t>Nov 18 2024 12:50 pm</t>
  </si>
  <si>
    <t>Nov 17 2024 2:04 pm</t>
  </si>
  <si>
    <t>Nov 16 2024 11:27 am</t>
  </si>
  <si>
    <t>Nov 15 2024 2:15 pm</t>
  </si>
  <si>
    <t>Nov 14 2024 12:38 pm</t>
  </si>
  <si>
    <t>Nov 13 2024 12:55 pm</t>
  </si>
  <si>
    <t>Nov 12 2024 7:00 am</t>
  </si>
  <si>
    <t>Nov 11 2024 1:03 pm</t>
  </si>
  <si>
    <t>Nov 10 2024 11:24 am</t>
  </si>
  <si>
    <t>Nov 09 2024 12:58 pm</t>
  </si>
  <si>
    <t>Nov 08 2024 2:10 pm</t>
  </si>
  <si>
    <t>Nov 07 2024 1:46 pm</t>
  </si>
  <si>
    <t>Nov 06 2024 1:08 pm</t>
  </si>
  <si>
    <t>Nov 05 2024 2:17 pm</t>
  </si>
  <si>
    <t>Nov 04 2024 11:19 am</t>
  </si>
  <si>
    <t>Nov 03 2024 1:44 pm</t>
  </si>
  <si>
    <t>Nov 02 2024 6:50 am</t>
  </si>
  <si>
    <t>Nov 01 2024 6:48 am</t>
  </si>
  <si>
    <t>Oct 31 2024 10:55 am</t>
  </si>
  <si>
    <t>Oct 30 2024 12:57 pm</t>
  </si>
  <si>
    <t>Oct 29 2024 12:44 pm</t>
  </si>
  <si>
    <t>Oct 28 2024 11:17 am</t>
  </si>
  <si>
    <t>Oct 27 2024 12:52 pm</t>
  </si>
  <si>
    <t>Oct 26 2024 1:20 pm</t>
  </si>
  <si>
    <t>Oct 25 2024 1:14 pm</t>
  </si>
  <si>
    <t>Oct 24 2024 12:42 pm</t>
  </si>
  <si>
    <t>Oct 24 2024 4:31 am</t>
  </si>
  <si>
    <t>Oct 22 2024 12:45 pm</t>
  </si>
  <si>
    <t>Oct 21 2024 11:23 am</t>
  </si>
  <si>
    <t>Oct 20 2024 1:57 pm</t>
  </si>
  <si>
    <t>Oct 19 2024 7:02 am</t>
  </si>
  <si>
    <t>Oct 18 2024 7:19 am</t>
  </si>
  <si>
    <t>Oct 17 2024 3:02 pm</t>
  </si>
  <si>
    <t>Oct 16 2024 7:27 am</t>
  </si>
  <si>
    <t>Oct 15 2024 11:29 am</t>
  </si>
  <si>
    <t>Oct 14 2024 11:05 am</t>
  </si>
  <si>
    <t>Oct 13 2024 11:13 am</t>
  </si>
  <si>
    <t>Oct 12 2024 10:50 am</t>
  </si>
  <si>
    <t>Oct 11 2024 10:58 am</t>
  </si>
  <si>
    <t>Oct 10 2024 11:46 am</t>
  </si>
  <si>
    <t>Oct 09 2024 7:16 am</t>
  </si>
  <si>
    <t>Oct 08 2024 11:33 am</t>
  </si>
  <si>
    <t>Oct 07 2024 11:24 am</t>
  </si>
  <si>
    <t>Oct 06 2024 11:17 am</t>
  </si>
  <si>
    <t>Oct 05 2024 12:44 pm</t>
  </si>
  <si>
    <t>Oct 04 2024 7:13 am</t>
  </si>
  <si>
    <t>Oct 03 2024 1:55 pm</t>
  </si>
  <si>
    <t>Oct 02 2024 11:05 am</t>
  </si>
  <si>
    <t>Oct 02 2024 6:41 am</t>
  </si>
  <si>
    <t>Sep 30 2024 7:18 am</t>
  </si>
  <si>
    <t>Sep 29 2024 6:55 pm</t>
  </si>
  <si>
    <t>Sep 29 2024 3:39 am</t>
  </si>
  <si>
    <t>Sep 27 2024 11:25 am</t>
  </si>
  <si>
    <t>Sep 26 2024 7:20 am</t>
  </si>
  <si>
    <t>Sep 25 2024 6:45 am</t>
  </si>
  <si>
    <t>Sep 24 2024 2:20 pm</t>
  </si>
  <si>
    <t>Sep 23 2024 10:50 am</t>
  </si>
  <si>
    <t>Sep 22 2024 7:10 am</t>
  </si>
  <si>
    <t>Sep 21 2024 6:47 am</t>
  </si>
  <si>
    <t>Sep 20 2024 6:49 am</t>
  </si>
  <si>
    <t>Sep 19 2024 7:28 am</t>
  </si>
  <si>
    <t>Sep 18 2024 7:24 am</t>
  </si>
  <si>
    <t>Sep 17 2024 7:16 am</t>
  </si>
  <si>
    <t>Sep 16 2024 12:21 pm</t>
  </si>
  <si>
    <t>Sep 15 2024 7:23 am</t>
  </si>
  <si>
    <t>Sep 14 2024 10:04 am</t>
  </si>
  <si>
    <t>Sep 13 2024 12:48 pm</t>
  </si>
  <si>
    <t>Sep 12 2024 9:31 am</t>
  </si>
  <si>
    <t>Sep 11 2024 7:09 am</t>
  </si>
  <si>
    <t>Sep 10 2024 7:11 am</t>
  </si>
  <si>
    <t>Sep 09 2024 7:11 am</t>
  </si>
  <si>
    <t>Sep 08 2024 7:03 am</t>
  </si>
  <si>
    <t>Sep 07 2024 6:55 am</t>
  </si>
  <si>
    <t>Sep 06 2024 6:56 am</t>
  </si>
  <si>
    <t>Sep 05 2024 7:08 am</t>
  </si>
  <si>
    <t>Sep 04 2024 11:23 am</t>
  </si>
  <si>
    <t>Sep 03 2024 7:11 am</t>
  </si>
  <si>
    <t>Sep 02 2024 9:01 am</t>
  </si>
  <si>
    <t>Sep 02 2024 6:23 am</t>
  </si>
  <si>
    <t>Aug 31 2024 7:24 am</t>
  </si>
  <si>
    <t>Aug 30 2024 6:41 am</t>
  </si>
  <si>
    <t>Aug 29 2024 11:36 pm</t>
  </si>
  <si>
    <t>Aug 28 2024 7:18 am</t>
  </si>
  <si>
    <t>Aug 27 2024 6:55 am</t>
  </si>
  <si>
    <t>Aug 26 2024 6:58 am</t>
  </si>
  <si>
    <t>Aug 25 2024 6:52 am</t>
  </si>
  <si>
    <t>Aug 24 2024 7:39 am</t>
  </si>
  <si>
    <t>Aug 23 2024 7:32 am</t>
  </si>
  <si>
    <t>Aug 22 2024 6:47 am</t>
  </si>
  <si>
    <t>Aug 21 2024 7:09 am</t>
  </si>
  <si>
    <t>Aug 20 2024 7:00 am</t>
  </si>
  <si>
    <t>Aug 19 2024 6:40 am</t>
  </si>
  <si>
    <t>Aug 18 2024 7:12 am</t>
  </si>
  <si>
    <t>Aug 17 2024 6:49 am</t>
  </si>
  <si>
    <t>Aug 16 2024 6:53 am</t>
  </si>
  <si>
    <t>Aug 15 2024 7:16 am</t>
  </si>
  <si>
    <t>Aug 14 2024 7:01 am</t>
  </si>
  <si>
    <t>Aug 13 2024 6:47 am</t>
  </si>
  <si>
    <t>Aug 12 2024 6:48 am</t>
  </si>
  <si>
    <t>Aug 11 2024 6:46 am</t>
  </si>
  <si>
    <t>Aug 10 2024 7:06 am</t>
  </si>
  <si>
    <t>Aug 09 2024 7:04 am</t>
  </si>
  <si>
    <t>Aug 08 2024 7:22 am</t>
  </si>
  <si>
    <t>Aug 07 2024 7:00 am</t>
  </si>
  <si>
    <t>Aug 06 2024 7:17 am</t>
  </si>
  <si>
    <t>Aug 05 2024 6:46 am</t>
  </si>
  <si>
    <t>Aug 04 2024 6:47 am</t>
  </si>
  <si>
    <t>Aug 03 2024 6:55 am</t>
  </si>
  <si>
    <t>Aug 02 2024 6:59 am</t>
  </si>
  <si>
    <t>Aug 01 2024 6:41 am</t>
  </si>
  <si>
    <t>Jul 31 2024 6:42 am</t>
  </si>
  <si>
    <t>Jul 30 2024 7:17 am</t>
  </si>
  <si>
    <t>Jul 29 2024 6:59 am</t>
  </si>
  <si>
    <t>Jul 28 2024 6:49 am</t>
  </si>
  <si>
    <t>Jul 27 2024 9:17 am</t>
  </si>
  <si>
    <t>Jul 26 2024 8:26 am</t>
  </si>
  <si>
    <t>Jul 25 2024 6:48 am</t>
  </si>
  <si>
    <t>Jul 24 2024 6:55 am</t>
  </si>
  <si>
    <t>Jul 23 2024 6:51 am</t>
  </si>
  <si>
    <t>Jul 22 2024 6:48 am</t>
  </si>
  <si>
    <t>Jul 21 2024 6:59 am</t>
  </si>
  <si>
    <t>Jul 20 2024 7:57 am</t>
  </si>
  <si>
    <t>Jul 19 2024 6:53 am</t>
  </si>
  <si>
    <t>Jul 18 2024 6:48 am</t>
  </si>
  <si>
    <t>Jul 17 2024 6:59 am</t>
  </si>
  <si>
    <t>Jul 16 2024 7:34 am</t>
  </si>
  <si>
    <t>Jul 15 2024 7:03 am</t>
  </si>
  <si>
    <t>Jul 14 2024 7:12 am</t>
  </si>
  <si>
    <t>Jul 13 2024 6:59 am</t>
  </si>
  <si>
    <t>Jul 12 2024 6:41 am</t>
  </si>
  <si>
    <t>Jul 11 2024 6:57 am</t>
  </si>
  <si>
    <t>Jul 10 2024 6:49 am</t>
  </si>
  <si>
    <t>Jul 09 2024 6:47 am</t>
  </si>
  <si>
    <t>Jul 08 2024 7:21 am</t>
  </si>
  <si>
    <t>Jul 07 2024 6:57 am</t>
  </si>
  <si>
    <t>Jul 06 2024 7:32 am</t>
  </si>
  <si>
    <t>Jul 05 2024 6:34 am</t>
  </si>
  <si>
    <t>Jul 04 2024 6:38 am</t>
  </si>
  <si>
    <t>Jul 03 2024 6:43 am</t>
  </si>
  <si>
    <t>Jul 02 2024 8:25 am</t>
  </si>
  <si>
    <t>Jul 01 2024 6:34 am</t>
  </si>
  <si>
    <t>Jun 30 2024 6:39 am</t>
  </si>
  <si>
    <t>Jun 29 2024 6:36 am</t>
  </si>
  <si>
    <t>Jun 28 2024 7:07 am</t>
  </si>
  <si>
    <t>Jun 27 2024 6:46 am</t>
  </si>
  <si>
    <t>Jun 26 2024 6:57 am</t>
  </si>
  <si>
    <t>Jun 25 2024 6:47 am</t>
  </si>
  <si>
    <t>Jun 24 2024 6:36 am</t>
  </si>
  <si>
    <t>Jun 23 2024 6:36 am</t>
  </si>
  <si>
    <t>Jun 22 2024 6:56 am</t>
  </si>
  <si>
    <t>Jun 21 2024 6:51 am</t>
  </si>
  <si>
    <t>Jun 20 2024 6:38 am</t>
  </si>
  <si>
    <t>Jun 19 2024 8:21 am</t>
  </si>
  <si>
    <t>Jun 18 2024 6:35 am</t>
  </si>
  <si>
    <t>Jun 17 2024 6:40 am</t>
  </si>
  <si>
    <t>Jun 16 2024 6:46 am</t>
  </si>
  <si>
    <t>Jun 15 2024 6:56 am</t>
  </si>
  <si>
    <t>Jun 14 2024 6:34 am</t>
  </si>
  <si>
    <t>Jun 13 2024 6:42 am</t>
  </si>
  <si>
    <t>Jun 12 2024 6:43 am</t>
  </si>
  <si>
    <t>Jun 11 2024 7:02 am</t>
  </si>
  <si>
    <t>Jun 10 2024 6:32 am</t>
  </si>
  <si>
    <t>Jun 09 2024 6:35 am</t>
  </si>
  <si>
    <t>Jun 08 2024 6:39 am</t>
  </si>
  <si>
    <t>Jun 07 2024 7:41 am</t>
  </si>
  <si>
    <t>Jun 06 2024 6:37 am</t>
  </si>
  <si>
    <t>Jun 05 2024 6:37 am</t>
  </si>
  <si>
    <t>Jun 04 2024 6:43 am</t>
  </si>
  <si>
    <t>Jun 03 2024 6:59 am</t>
  </si>
  <si>
    <t>Jun 02 2024 6:59 am</t>
  </si>
  <si>
    <t>Jun 01 2024 6:36 am</t>
  </si>
  <si>
    <t>May 31 2024 6:55 am</t>
  </si>
  <si>
    <t>May 30 2024 7:06 am</t>
  </si>
  <si>
    <t>May 29 2024 7:00 am</t>
  </si>
  <si>
    <t>May 28 2024 7:06 am</t>
  </si>
  <si>
    <t>May 27 2024 6:24 am</t>
  </si>
  <si>
    <t>May 26 2024 7:02 am</t>
  </si>
  <si>
    <t>May 25 2024 6:19 am</t>
  </si>
  <si>
    <t>May 24 2024 6:23 am</t>
  </si>
  <si>
    <t>May 23 2024 8:03 am</t>
  </si>
  <si>
    <t>May 22 2024 6:03 am</t>
  </si>
  <si>
    <t>May 21 2024 6:30 am</t>
  </si>
  <si>
    <t>May 20 2024 5:51 am</t>
  </si>
  <si>
    <t>May 19 2024 4:52 am</t>
  </si>
  <si>
    <t>May 18 2024 9:27 am</t>
  </si>
  <si>
    <t>May 17 2024 6:27 am</t>
  </si>
  <si>
    <t>May 16 2024 6:36 am</t>
  </si>
  <si>
    <t>May 15 2024 6:53 am</t>
  </si>
  <si>
    <t>May 14 2024 5:41 am</t>
  </si>
  <si>
    <t>May 13 2024 6:39 am</t>
  </si>
  <si>
    <t>May 12 2024 6:56 am</t>
  </si>
  <si>
    <t>May 11 2024 5:38 am</t>
  </si>
  <si>
    <t>May 10 2024 5:26 am</t>
  </si>
  <si>
    <t>May 09 2024 5:54 am</t>
  </si>
  <si>
    <t>May 08 2024 5:48 am</t>
  </si>
  <si>
    <t>May 07 2024 6:55 am</t>
  </si>
  <si>
    <t>May 06 2024 5:10 am</t>
  </si>
  <si>
    <t>May 05 2024 6:59 am</t>
  </si>
  <si>
    <t>May 04 2024 5:52 am</t>
  </si>
  <si>
    <t>May 03 2024 6:04 am</t>
  </si>
  <si>
    <t>May 02 2024 7:08 am</t>
  </si>
  <si>
    <t>May 01 2024 6:32 am</t>
  </si>
  <si>
    <t>Apr 30 2024 5:49 am</t>
  </si>
  <si>
    <t>Apr 29 2024 6:46 am</t>
  </si>
  <si>
    <t>Apr 28 2024 6:41 am</t>
  </si>
  <si>
    <t>Apr 27 2024 5:36 am</t>
  </si>
  <si>
    <t>Apr 26 2024 5:44 am</t>
  </si>
  <si>
    <t>Apr 25 2024 5:09 am</t>
  </si>
  <si>
    <t>Apr 24 2024 8:14 am</t>
  </si>
  <si>
    <t>Apr 23 2024 9:44 am</t>
  </si>
  <si>
    <t>Apr 22 2024 8:22 am</t>
  </si>
  <si>
    <t>Apr 21 2024 4:45 am</t>
  </si>
  <si>
    <t>Apr 20 2024 5:36 am</t>
  </si>
  <si>
    <t>Apr 19 2024 5:41 am</t>
  </si>
  <si>
    <t>Apr 18 2024 6:13 am</t>
  </si>
  <si>
    <t>Apr 17 2024 9:05 am</t>
  </si>
  <si>
    <t>Apr 16 2024 4:50 am</t>
  </si>
  <si>
    <t>Apr 15 2024 5:57 am</t>
  </si>
  <si>
    <t>Apr 14 2024 6:11 am</t>
  </si>
  <si>
    <t>Apr 13 2024 5:21 am</t>
  </si>
  <si>
    <t>Apr 12 2024 4:58 am</t>
  </si>
  <si>
    <t>Apr 11 2024 6:05 am</t>
  </si>
  <si>
    <t>Apr 10 2024 6:37 am</t>
  </si>
  <si>
    <t>Apr 09 2024 5:58 am</t>
  </si>
  <si>
    <t>Apr 08 2024 4:53 am</t>
  </si>
  <si>
    <t>Apr 07 2024 5:09 am</t>
  </si>
  <si>
    <t>Apr 06 2024 9:09 am</t>
  </si>
  <si>
    <t>Apr 05 2024 4:37 am</t>
  </si>
  <si>
    <t>Apr 04 2024 5:26 am</t>
  </si>
  <si>
    <t>Apr 03 2024 5:14 am</t>
  </si>
  <si>
    <t>Apr 02 2024 6:32 am</t>
  </si>
  <si>
    <t>Apr 01 2024 5:57 am</t>
  </si>
  <si>
    <t>Mar 31 2024 5:13 am</t>
  </si>
  <si>
    <t>Mar 30 2024 7:19 am</t>
  </si>
  <si>
    <t>Mar 29 2024 4:02 am</t>
  </si>
  <si>
    <t>Mar 28 2024 5:10 am</t>
  </si>
  <si>
    <t>Mar 28 2024 2:54 am</t>
  </si>
  <si>
    <t>Mar 27 2024 5:40 am</t>
  </si>
  <si>
    <t>Mar 26 2024 4:45 am</t>
  </si>
  <si>
    <t>Mar 25 2024 6:06 am</t>
  </si>
  <si>
    <t>Mar 24 2024 5:46 am</t>
  </si>
  <si>
    <t>Mar 23 2024 4:32 am</t>
  </si>
  <si>
    <t>Mar 22 2024 5:17 am</t>
  </si>
  <si>
    <t>Mar 21 2024 9:03 am</t>
  </si>
  <si>
    <t>Mar 20 2024 4:52 am</t>
  </si>
  <si>
    <t>Mar 19 2024 4:22 am</t>
  </si>
  <si>
    <t>Mar 18 2024 6:20 am</t>
  </si>
  <si>
    <t>Mar 17 2024 6:41 am</t>
  </si>
  <si>
    <t>Mar 16 2024 7:18 am</t>
  </si>
  <si>
    <t>Mar 15 2024 5:11 am</t>
  </si>
  <si>
    <t>Mar 14 2024 4:41 am</t>
  </si>
  <si>
    <t>Mar 13 2024 5:12 am</t>
  </si>
  <si>
    <t>Mar 12 2024 4:44 am</t>
  </si>
  <si>
    <t>Mar 11 2024 4:42 am</t>
  </si>
  <si>
    <t>Mar 10 2024 5:04 am</t>
  </si>
  <si>
    <t>Mar 09 2024 3:32 am</t>
  </si>
  <si>
    <t>Mar 08 2024 6:29 am</t>
  </si>
  <si>
    <t>Mar 07 2024 5:19 am</t>
  </si>
  <si>
    <t>Mar 06 2024 4:02 am</t>
  </si>
  <si>
    <t>Mar 05 2024 6:26 am</t>
  </si>
  <si>
    <t>Mar 04 2024 3:47 am</t>
  </si>
  <si>
    <t>Mar 03 2024 3:15 am</t>
  </si>
  <si>
    <t>Mar 02 2024 6:10 am</t>
  </si>
  <si>
    <t>Mar 01 2024 4:59 am</t>
  </si>
  <si>
    <t>Feb 29 2024 4:06 am</t>
  </si>
  <si>
    <t>Feb 28 2024 4:55 am</t>
  </si>
  <si>
    <t>Feb 27 2024 4:40 am</t>
  </si>
  <si>
    <t>Feb 26 2024 4:24 am</t>
  </si>
  <si>
    <t>Feb 25 2024 4:50 am</t>
  </si>
  <si>
    <t>Feb 24 2024 6:26 am</t>
  </si>
  <si>
    <t>Feb 23 2024 4:38 am</t>
  </si>
  <si>
    <t>Feb 22 2024 4:31 am</t>
  </si>
  <si>
    <t>Feb 21 2024 3:00 am</t>
  </si>
  <si>
    <t>Feb 20 2024 4:20 am</t>
  </si>
  <si>
    <t>Feb 19 2024 3:14 am</t>
  </si>
  <si>
    <t>Feb 18 2024 3:38 am</t>
  </si>
  <si>
    <t>Feb 17 2024 4:29 am</t>
  </si>
  <si>
    <t>Feb 16 2024 3:21 am</t>
  </si>
  <si>
    <t>Feb 15 2024 4:25 am</t>
  </si>
  <si>
    <t>Feb 14 2024 3:57 am</t>
  </si>
  <si>
    <t>Feb 13 2024 3:38 am</t>
  </si>
  <si>
    <t>Feb 12 2024 4:52 am</t>
  </si>
  <si>
    <t>Feb 11 2024 3:16 am</t>
  </si>
  <si>
    <t>Feb 10 2024 3:45 am</t>
  </si>
  <si>
    <t>Feb 09 2024 4:05 am</t>
  </si>
  <si>
    <t>Feb 08 2024 3:33 am</t>
  </si>
  <si>
    <t>Feb 07 2024 2:41 am</t>
  </si>
  <si>
    <t>Feb 06 2024 2:34 am</t>
  </si>
  <si>
    <t>Feb 05 2024 5:40 am</t>
  </si>
  <si>
    <t>Feb 04 2024 2:51 am</t>
  </si>
  <si>
    <t>Feb 03 2024 3:48 am</t>
  </si>
  <si>
    <t>Feb 02 2024 3:46 am</t>
  </si>
  <si>
    <t>Feb 01 2024 6:32 am</t>
  </si>
  <si>
    <t>Jan 31 2024 2:50 am</t>
  </si>
  <si>
    <t>Jan 30 2024 5:27 am</t>
  </si>
  <si>
    <t>Jan 29 2024 2:38 am</t>
  </si>
  <si>
    <t>Jan 28 2024 3:24 am</t>
  </si>
  <si>
    <t>Jan 27 2024 4:19 am</t>
  </si>
  <si>
    <t>Jan 26 2024 5:01 am</t>
  </si>
  <si>
    <t>Jan 25 2024 3:32 am</t>
  </si>
  <si>
    <t>Jan 24 2024 6:56 am</t>
  </si>
  <si>
    <t>Jan 23 2024 3:23 am</t>
  </si>
  <si>
    <t>Jan 22 2024 5:24 am</t>
  </si>
  <si>
    <t>Jan 21 2024 4:43 am</t>
  </si>
  <si>
    <t>Jan 20 2024 3:05 am</t>
  </si>
  <si>
    <t>Jan 19 2024 3:48 am</t>
  </si>
  <si>
    <t>Jan 18 2024 4:47 am</t>
  </si>
  <si>
    <t>Jan 17 2024 4:40 am</t>
  </si>
  <si>
    <t>Jan 16 2024 5:01 am</t>
  </si>
  <si>
    <t>Jan 15 2024 4:53 am</t>
  </si>
  <si>
    <t>Jan 14 2024 5:24 am</t>
  </si>
  <si>
    <t>Jan 13 2024 6:30 am</t>
  </si>
  <si>
    <t>Jan 12 2024 6:48 am</t>
  </si>
  <si>
    <t>Jan 11 2024 5:06 am</t>
  </si>
  <si>
    <t>Jan 10 2024 5:02 am</t>
  </si>
  <si>
    <t>Jan 09 2024 3:30 am</t>
  </si>
  <si>
    <t>Jan 08 2024 4:33 am</t>
  </si>
  <si>
    <t>Jan 07 2024 4:56 am</t>
  </si>
  <si>
    <t>Jan 06 2024 8:10 am</t>
  </si>
  <si>
    <t>Jan 05 2024 2:25 am</t>
  </si>
  <si>
    <t>Jan 04 2024 9:17 am</t>
  </si>
  <si>
    <t>Jan 03 2024 4:44 am</t>
  </si>
  <si>
    <t>Jan 02 2024 4:43 am</t>
  </si>
  <si>
    <t>Jan 01 2024 4:10 am</t>
  </si>
  <si>
    <t>Dec 31 2023 5:01 am</t>
  </si>
  <si>
    <t>Dec 30 2023 4:07 am</t>
  </si>
  <si>
    <t>Dec 30 2023 4:05 am</t>
  </si>
  <si>
    <t>Dec 29 2023 4:11 am</t>
  </si>
  <si>
    <t>Dec 28 2023 5:35 am</t>
  </si>
  <si>
    <t>Dec 27 2023 3:54 am</t>
  </si>
  <si>
    <t>Dec 26 2023 4:49 am</t>
  </si>
  <si>
    <t>Dec 25 2023 4:56 am</t>
  </si>
  <si>
    <t>Dec 24 2023 4:56 am</t>
  </si>
  <si>
    <t>Dec 23 2023 4:04 am</t>
  </si>
  <si>
    <t>Dec 22 2023 2:53 am</t>
  </si>
  <si>
    <t>Dec 21 2023 5:06 am</t>
  </si>
  <si>
    <t>Dec 20 2023 3:06 am</t>
  </si>
  <si>
    <t>Dec 19 2023 2:33 am</t>
  </si>
  <si>
    <t>Dec 18 2023 2:23 am</t>
  </si>
  <si>
    <t>Dec 17 2023 6:51 am</t>
  </si>
  <si>
    <t>Dec 16 2023 2:52 am</t>
  </si>
  <si>
    <t>Dec 15 2023 4:48 am</t>
  </si>
  <si>
    <t>Dec 14 2023 6:23 am</t>
  </si>
  <si>
    <t>Dec 13 2023 7:31 am</t>
  </si>
  <si>
    <t>Dec 12 2023 4:42 am</t>
  </si>
  <si>
    <t>Dec 11 2023 5:21 am</t>
  </si>
  <si>
    <t>Dec 10 2023 6:17 am</t>
  </si>
  <si>
    <t>Dec 09 2023 3:09 am</t>
  </si>
  <si>
    <t>Dec 08 2023 6:38 am</t>
  </si>
  <si>
    <t>Dec 07 2023 6:44 am</t>
  </si>
  <si>
    <t>Dec 06 2023 4:54 am</t>
  </si>
  <si>
    <t>Dec 05 2023 4:44 am</t>
  </si>
  <si>
    <t>Dec 04 2023 2:50 am</t>
  </si>
  <si>
    <t>Dec 03 2023 9:30 pm</t>
  </si>
  <si>
    <t>Dec 02 2023 9:46 am</t>
  </si>
  <si>
    <t>Dec 01 2023 4:54 am</t>
  </si>
  <si>
    <t>Nov 30 2023 2:34 am</t>
  </si>
  <si>
    <t>Nov 29 2023 2:24 am</t>
  </si>
  <si>
    <t>Nov 28 2023 2:44 am</t>
  </si>
  <si>
    <t>Nov 27 2023 4:48 am</t>
  </si>
  <si>
    <t>Nov 26 2023 6:24 am</t>
  </si>
  <si>
    <t>Nov 25 2023 2:29 am</t>
  </si>
  <si>
    <t>Nov 24 2023 2:21 am</t>
  </si>
  <si>
    <t>Nov 23 2023 3:08 am</t>
  </si>
  <si>
    <t>Nov 22 2023 2:42 am</t>
  </si>
  <si>
    <t>Nov 21 2023 2:49 am</t>
  </si>
  <si>
    <t>Nov 20 2023 2:44 am</t>
  </si>
  <si>
    <t>Nov 19 2023 2:30 am</t>
  </si>
  <si>
    <t>Nov 18 2023 2:34 am</t>
  </si>
  <si>
    <t>Nov 17 2023 2:51 am</t>
  </si>
  <si>
    <t>Nov 16 2023 2:31 am</t>
  </si>
  <si>
    <t>Nov 15 2023 2:48 am</t>
  </si>
  <si>
    <t>Nov 14 2023 2:46 am</t>
  </si>
  <si>
    <t>Nov 13 2023 10:32 pm</t>
  </si>
  <si>
    <t>Nov 13 2023 2:29 am</t>
  </si>
  <si>
    <t>Month</t>
  </si>
  <si>
    <t>Date</t>
  </si>
  <si>
    <t>Time Stamp</t>
  </si>
  <si>
    <t>Time Range</t>
  </si>
  <si>
    <t>Row Labels</t>
  </si>
  <si>
    <t>1:00 PM – 2:00 PM</t>
  </si>
  <si>
    <t>10:00 AM – 11:00 AM</t>
  </si>
  <si>
    <t>10:00 PM – 11:00 PM</t>
  </si>
  <si>
    <t>11:00 AM – 12:00 PM</t>
  </si>
  <si>
    <t>12:00 PM – 1:00 PM</t>
  </si>
  <si>
    <t>2:00 AM – 3:00 AM</t>
  </si>
  <si>
    <t>2:00 PM – 3:00 PM</t>
  </si>
  <si>
    <t>3:00 AM – 4:00 AM</t>
  </si>
  <si>
    <t>3:00 PM – 4:00 PM</t>
  </si>
  <si>
    <t>4:00 AM – 5:00 AM</t>
  </si>
  <si>
    <t>4:00 PM – 5:00 PM</t>
  </si>
  <si>
    <t>5:00 AM – 6:00 AM</t>
  </si>
  <si>
    <t>6:00 AM – 7:00 AM</t>
  </si>
  <si>
    <t>7:00 AM – 8:00 AM</t>
  </si>
  <si>
    <t>8:00 AM – 9:00 AM</t>
  </si>
  <si>
    <t>9:00 AM – 10:00 AM</t>
  </si>
  <si>
    <t>Grand Total</t>
  </si>
  <si>
    <t>Sum of Reach</t>
  </si>
  <si>
    <t>Day</t>
  </si>
  <si>
    <t>January</t>
  </si>
  <si>
    <t>February</t>
  </si>
  <si>
    <t>March</t>
  </si>
  <si>
    <t>April</t>
  </si>
  <si>
    <t>May</t>
  </si>
  <si>
    <t>June</t>
  </si>
  <si>
    <t>July</t>
  </si>
  <si>
    <t>August</t>
  </si>
  <si>
    <t>September</t>
  </si>
  <si>
    <t>October</t>
  </si>
  <si>
    <t>November</t>
  </si>
  <si>
    <t>December</t>
  </si>
  <si>
    <t>Sum of Followers Gained</t>
  </si>
  <si>
    <t>Sum of Likes</t>
  </si>
  <si>
    <t>Sum of Comments</t>
  </si>
  <si>
    <t>Sum of Saves</t>
  </si>
  <si>
    <t>Sum of Shares</t>
  </si>
  <si>
    <t>Percentage Contribution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</si>
</sst>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7">
    <xf numFmtId="0" fontId="0" fillId="0" borderId="0" xfId="0"/>
    <xf numFmtId="0" fontId="16" fillId="0" borderId="0" xfId="0" applyFont="1"/>
    <xf numFmtId="164" fontId="16" fillId="0" borderId="0" xfId="0" applyNumberFormat="1" applyFont="1"/>
    <xf numFmtId="164" fontId="0" fillId="0" borderId="0" xfId="0" applyNumberFormat="1"/>
    <xf numFmtId="18" fontId="0" fillId="0" borderId="0" xfId="0" applyNumberFormat="1"/>
    <xf numFmtId="0" fontId="0" fillId="0" borderId="0" xfId="0" pivotButton="1"/>
    <xf numFmtId="0" fontId="0" fillId="0" borderId="0" xfId="0" applyAlignment="1">
      <alignment horizontal="left"/>
    </xf>
    <xf numFmtId="0" fontId="0" fillId="34" borderId="10" xfId="0" applyFill="1" applyBorder="1"/>
    <xf numFmtId="0" fontId="0" fillId="0" borderId="10" xfId="0" applyBorder="1"/>
    <xf numFmtId="164" fontId="0" fillId="34" borderId="10" xfId="0" applyNumberFormat="1" applyFill="1" applyBorder="1"/>
    <xf numFmtId="18" fontId="0" fillId="34" borderId="10" xfId="0" applyNumberFormat="1" applyFill="1" applyBorder="1"/>
    <xf numFmtId="164" fontId="0" fillId="0" borderId="10" xfId="0" applyNumberFormat="1" applyBorder="1"/>
    <xf numFmtId="18" fontId="0" fillId="0" borderId="10" xfId="0" applyNumberFormat="1" applyBorder="1"/>
    <xf numFmtId="164" fontId="13" fillId="33" borderId="11" xfId="0" applyNumberFormat="1" applyFont="1" applyFill="1" applyBorder="1"/>
    <xf numFmtId="0" fontId="13" fillId="33" borderId="11" xfId="0" applyFont="1" applyFill="1" applyBorder="1"/>
    <xf numFmtId="164" fontId="0" fillId="0" borderId="12" xfId="0" applyNumberFormat="1" applyBorder="1"/>
    <xf numFmtId="0" fontId="0" fillId="0" borderId="12" xfId="0" applyBorder="1"/>
    <xf numFmtId="18" fontId="0" fillId="0" borderId="12" xfId="0" applyNumberFormat="1" applyBorder="1"/>
    <xf numFmtId="3" fontId="13" fillId="33" borderId="11" xfId="0" applyNumberFormat="1" applyFont="1" applyFill="1" applyBorder="1"/>
    <xf numFmtId="3" fontId="0" fillId="34" borderId="10" xfId="0" applyNumberFormat="1" applyFill="1" applyBorder="1"/>
    <xf numFmtId="3" fontId="0" fillId="0" borderId="10" xfId="0" applyNumberFormat="1" applyBorder="1"/>
    <xf numFmtId="3" fontId="0" fillId="0" borderId="12" xfId="0" applyNumberFormat="1" applyBorder="1"/>
    <xf numFmtId="3" fontId="0" fillId="0" borderId="0" xfId="0" applyNumberFormat="1"/>
    <xf numFmtId="165" fontId="0" fillId="34" borderId="11" xfId="0" applyNumberFormat="1" applyFill="1" applyBorder="1"/>
    <xf numFmtId="165" fontId="0" fillId="0" borderId="10" xfId="0" applyNumberFormat="1" applyBorder="1"/>
    <xf numFmtId="165" fontId="0" fillId="34" borderId="10" xfId="0" applyNumberFormat="1" applyFill="1" applyBorder="1"/>
    <xf numFmtId="165" fontId="0" fillId="0" borderId="12"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8">
    <dxf>
      <numFmt numFmtId="23" formatCode="h:mm\ AM/PM"/>
    </dxf>
    <dxf>
      <numFmt numFmtId="23" formatCode="h:mm\ AM/PM"/>
    </dxf>
    <dxf>
      <numFmt numFmtId="0" formatCode="General"/>
    </dxf>
    <dxf>
      <numFmt numFmtId="164" formatCode="[$-F800]dddd\,\ mmmm\ dd\,\ yyyy"/>
    </dxf>
    <dxf>
      <numFmt numFmtId="164" formatCode="[$-F800]dddd\,\ mmmm\ dd\,\ yyyy"/>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3" formatCode="h:mm\ AM/PM"/>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3" formatCode="h:mm\ AM/PM"/>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4" formatCode="[$-F800]dddd\,\ mmmm\ dd\,\ 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4" formatCode="[$-F800]dddd\,\ mmmm\ dd\,\ yyyy"/>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val="0"/>
        <i val="0"/>
        <strike val="0"/>
        <condense val="0"/>
        <extend val="0"/>
        <outline val="0"/>
        <shadow val="0"/>
        <u val="none"/>
        <vertAlign val="baseline"/>
        <sz val="11"/>
        <color theme="1"/>
        <name val="Aptos Narrow"/>
        <family val="2"/>
        <scheme val="minor"/>
      </font>
      <numFmt numFmtId="165" formatCode="0.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3"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3"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3"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3"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3" formatCode="#,##0"/>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3" formatCode="#,##0"/>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3" formatCode="#,##0"/>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3" formatCode="h:mm\ AM/PM"/>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3" formatCode="h:mm\ AM/PM"/>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4" formatCode="[$-F800]dddd\,\ mmmm\ dd\,\ 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4" formatCode="[$-F800]dddd\,\ mmmm\ dd\,\ yyyy"/>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[Full_Instagram_Reels_Stats.xlsm]PVT_FOR_Insta_Posts!PivotTable1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PVT_FOR_Insta_Posts!$B$9</c:f>
              <c:strCache>
                <c:ptCount val="1"/>
                <c:pt idx="0">
                  <c:v>Total</c:v>
                </c:pt>
              </c:strCache>
            </c:strRef>
          </c:tx>
          <c:spPr>
            <a:solidFill>
              <a:schemeClr val="accent1"/>
            </a:solidFill>
            <a:ln>
              <a:noFill/>
            </a:ln>
            <a:effectLst/>
          </c:spPr>
          <c:invertIfNegative val="0"/>
          <c:cat>
            <c:strRef>
              <c:f>PVT_FOR_Insta_Posts!$A$10:$A$25</c:f>
              <c:strCache>
                <c:ptCount val="16"/>
                <c:pt idx="0">
                  <c:v>1:00 PM – 2:00 PM</c:v>
                </c:pt>
                <c:pt idx="1">
                  <c:v>10:00 AM – 11:00 AM</c:v>
                </c:pt>
                <c:pt idx="2">
                  <c:v>10:00 PM – 11:00 PM</c:v>
                </c:pt>
                <c:pt idx="3">
                  <c:v>11:00 AM – 12:00 PM</c:v>
                </c:pt>
                <c:pt idx="4">
                  <c:v>12:00 PM – 1:00 PM</c:v>
                </c:pt>
                <c:pt idx="5">
                  <c:v>2:00 AM – 3:00 AM</c:v>
                </c:pt>
                <c:pt idx="6">
                  <c:v>2:00 PM – 3:00 PM</c:v>
                </c:pt>
                <c:pt idx="7">
                  <c:v>3:00 AM – 4:00 AM</c:v>
                </c:pt>
                <c:pt idx="8">
                  <c:v>3:00 PM – 4:00 PM</c:v>
                </c:pt>
                <c:pt idx="9">
                  <c:v>4:00 AM – 5:00 AM</c:v>
                </c:pt>
                <c:pt idx="10">
                  <c:v>4:00 PM – 5:00 PM</c:v>
                </c:pt>
                <c:pt idx="11">
                  <c:v>5:00 AM – 6:00 AM</c:v>
                </c:pt>
                <c:pt idx="12">
                  <c:v>6:00 AM – 7:00 AM</c:v>
                </c:pt>
                <c:pt idx="13">
                  <c:v>7:00 AM – 8:00 AM</c:v>
                </c:pt>
                <c:pt idx="14">
                  <c:v>8:00 AM – 9:00 AM</c:v>
                </c:pt>
                <c:pt idx="15">
                  <c:v>9:00 AM – 10:00 AM</c:v>
                </c:pt>
              </c:strCache>
            </c:strRef>
          </c:cat>
          <c:val>
            <c:numRef>
              <c:f>PVT_FOR_Insta_Posts!$B$10:$B$25</c:f>
              <c:numCache>
                <c:formatCode>General</c:formatCode>
                <c:ptCount val="16"/>
                <c:pt idx="0">
                  <c:v>563754</c:v>
                </c:pt>
                <c:pt idx="1">
                  <c:v>1414</c:v>
                </c:pt>
                <c:pt idx="2">
                  <c:v>66</c:v>
                </c:pt>
                <c:pt idx="3">
                  <c:v>4498</c:v>
                </c:pt>
                <c:pt idx="4">
                  <c:v>427708</c:v>
                </c:pt>
                <c:pt idx="5">
                  <c:v>341</c:v>
                </c:pt>
                <c:pt idx="6">
                  <c:v>2207</c:v>
                </c:pt>
                <c:pt idx="7">
                  <c:v>434</c:v>
                </c:pt>
                <c:pt idx="8">
                  <c:v>245</c:v>
                </c:pt>
                <c:pt idx="9">
                  <c:v>3057</c:v>
                </c:pt>
                <c:pt idx="10">
                  <c:v>1273</c:v>
                </c:pt>
                <c:pt idx="11">
                  <c:v>1214</c:v>
                </c:pt>
                <c:pt idx="12">
                  <c:v>644166</c:v>
                </c:pt>
                <c:pt idx="13">
                  <c:v>1720</c:v>
                </c:pt>
                <c:pt idx="14">
                  <c:v>254</c:v>
                </c:pt>
                <c:pt idx="15">
                  <c:v>82</c:v>
                </c:pt>
              </c:numCache>
            </c:numRef>
          </c:val>
          <c:extLst>
            <c:ext xmlns:c16="http://schemas.microsoft.com/office/drawing/2014/chart" uri="{C3380CC4-5D6E-409C-BE32-E72D297353CC}">
              <c16:uniqueId val="{00000000-BE37-4BDE-934F-4DA8FFB64796}"/>
            </c:ext>
          </c:extLst>
        </c:ser>
        <c:dLbls>
          <c:showLegendKey val="0"/>
          <c:showVal val="0"/>
          <c:showCatName val="0"/>
          <c:showSerName val="0"/>
          <c:showPercent val="0"/>
          <c:showBubbleSize val="0"/>
        </c:dLbls>
        <c:gapWidth val="150"/>
        <c:axId val="1176141327"/>
        <c:axId val="1176150447"/>
      </c:barChart>
      <c:catAx>
        <c:axId val="1176141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150447"/>
        <c:crosses val="autoZero"/>
        <c:auto val="1"/>
        <c:lblAlgn val="ctr"/>
        <c:lblOffset val="100"/>
        <c:noMultiLvlLbl val="0"/>
      </c:catAx>
      <c:valAx>
        <c:axId val="11761504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141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[Full_Instagram_Reels_Stats.xlsm]PVT_FOR_Insta_Posts!PivotTable2</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PVT_FOR_Insta_Posts!$B$35</c:f>
              <c:strCache>
                <c:ptCount val="1"/>
                <c:pt idx="0">
                  <c:v>Sum of Reach</c:v>
                </c:pt>
              </c:strCache>
            </c:strRef>
          </c:tx>
          <c:spPr>
            <a:ln w="28575" cap="rnd">
              <a:solidFill>
                <a:schemeClr val="accent1"/>
              </a:solidFill>
              <a:round/>
            </a:ln>
            <a:effectLst/>
          </c:spPr>
          <c:marker>
            <c:symbol val="none"/>
          </c:marker>
          <c:cat>
            <c:strRef>
              <c:f>PVT_FOR_Insta_Posts!$A$36:$A$47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PVT_FOR_Insta_Posts!$B$36:$B$47</c:f>
              <c:numCache>
                <c:formatCode>General</c:formatCode>
                <c:ptCount val="12"/>
                <c:pt idx="0">
                  <c:v>56439</c:v>
                </c:pt>
                <c:pt idx="1">
                  <c:v>58939</c:v>
                </c:pt>
                <c:pt idx="2">
                  <c:v>720565</c:v>
                </c:pt>
                <c:pt idx="3">
                  <c:v>19021</c:v>
                </c:pt>
                <c:pt idx="4">
                  <c:v>66891</c:v>
                </c:pt>
                <c:pt idx="5">
                  <c:v>18278</c:v>
                </c:pt>
                <c:pt idx="6">
                  <c:v>379174</c:v>
                </c:pt>
                <c:pt idx="7">
                  <c:v>614017</c:v>
                </c:pt>
                <c:pt idx="8">
                  <c:v>20237</c:v>
                </c:pt>
                <c:pt idx="9">
                  <c:v>36329</c:v>
                </c:pt>
                <c:pt idx="10">
                  <c:v>448371</c:v>
                </c:pt>
                <c:pt idx="11">
                  <c:v>819379</c:v>
                </c:pt>
              </c:numCache>
            </c:numRef>
          </c:val>
          <c:smooth val="0"/>
          <c:extLst>
            <c:ext xmlns:c16="http://schemas.microsoft.com/office/drawing/2014/chart" uri="{C3380CC4-5D6E-409C-BE32-E72D297353CC}">
              <c16:uniqueId val="{00000000-D913-41B9-BEBC-7931C2B72A72}"/>
            </c:ext>
          </c:extLst>
        </c:ser>
        <c:ser>
          <c:idx val="1"/>
          <c:order val="1"/>
          <c:tx>
            <c:strRef>
              <c:f>PVT_FOR_Insta_Posts!$C$35</c:f>
              <c:strCache>
                <c:ptCount val="1"/>
                <c:pt idx="0">
                  <c:v>Sum of Likes</c:v>
                </c:pt>
              </c:strCache>
            </c:strRef>
          </c:tx>
          <c:spPr>
            <a:ln w="28575" cap="rnd">
              <a:solidFill>
                <a:schemeClr val="accent2"/>
              </a:solidFill>
              <a:round/>
            </a:ln>
            <a:effectLst/>
          </c:spPr>
          <c:marker>
            <c:symbol val="none"/>
          </c:marker>
          <c:cat>
            <c:strRef>
              <c:f>PVT_FOR_Insta_Posts!$A$36:$A$47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PVT_FOR_Insta_Posts!$C$36:$C$47</c:f>
              <c:numCache>
                <c:formatCode>General</c:formatCode>
                <c:ptCount val="12"/>
                <c:pt idx="0">
                  <c:v>3538</c:v>
                </c:pt>
                <c:pt idx="1">
                  <c:v>5059</c:v>
                </c:pt>
                <c:pt idx="2">
                  <c:v>93801</c:v>
                </c:pt>
                <c:pt idx="3">
                  <c:v>963</c:v>
                </c:pt>
                <c:pt idx="4">
                  <c:v>7073</c:v>
                </c:pt>
                <c:pt idx="5">
                  <c:v>1664</c:v>
                </c:pt>
                <c:pt idx="6">
                  <c:v>25778</c:v>
                </c:pt>
                <c:pt idx="7">
                  <c:v>122067</c:v>
                </c:pt>
                <c:pt idx="8">
                  <c:v>1254</c:v>
                </c:pt>
                <c:pt idx="9">
                  <c:v>1959</c:v>
                </c:pt>
                <c:pt idx="10">
                  <c:v>38369</c:v>
                </c:pt>
                <c:pt idx="11">
                  <c:v>51604</c:v>
                </c:pt>
              </c:numCache>
            </c:numRef>
          </c:val>
          <c:smooth val="0"/>
          <c:extLst>
            <c:ext xmlns:c16="http://schemas.microsoft.com/office/drawing/2014/chart" uri="{C3380CC4-5D6E-409C-BE32-E72D297353CC}">
              <c16:uniqueId val="{00000002-D913-41B9-BEBC-7931C2B72A72}"/>
            </c:ext>
          </c:extLst>
        </c:ser>
        <c:dLbls>
          <c:showLegendKey val="0"/>
          <c:showVal val="0"/>
          <c:showCatName val="0"/>
          <c:showSerName val="0"/>
          <c:showPercent val="0"/>
          <c:showBubbleSize val="0"/>
        </c:dLbls>
        <c:smooth val="0"/>
        <c:axId val="1176160047"/>
        <c:axId val="1176165807"/>
      </c:lineChart>
      <c:catAx>
        <c:axId val="117616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165807"/>
        <c:crosses val="autoZero"/>
        <c:auto val="1"/>
        <c:lblAlgn val="ctr"/>
        <c:lblOffset val="100"/>
        <c:noMultiLvlLbl val="0"/>
      </c:catAx>
      <c:valAx>
        <c:axId val="1176165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160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[Full_Instagram_Reels_Stats.xlsm]PVT_FOR_Insta_Posts!PivotTable3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PVT_FOR_Insta_Posts!$B$51</c:f>
              <c:strCache>
                <c:ptCount val="1"/>
                <c:pt idx="0">
                  <c:v>Total</c:v>
                </c:pt>
              </c:strCache>
            </c:strRef>
          </c:tx>
          <c:spPr>
            <a:solidFill>
              <a:schemeClr val="accent1"/>
            </a:solidFill>
            <a:ln>
              <a:noFill/>
            </a:ln>
            <a:effectLst/>
          </c:spPr>
          <c:invertIfNegative val="0"/>
          <c:cat>
            <c:strRef>
              <c:f>PVT_FOR_Insta_Posts!$A$52:$A$64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PVT_FOR_Insta_Posts!$B$52:$B$64</c:f>
              <c:numCache>
                <c:formatCode>General</c:formatCode>
                <c:ptCount val="12"/>
                <c:pt idx="0">
                  <c:v>511</c:v>
                </c:pt>
                <c:pt idx="1">
                  <c:v>1</c:v>
                </c:pt>
                <c:pt idx="2">
                  <c:v>126</c:v>
                </c:pt>
                <c:pt idx="3">
                  <c:v>208</c:v>
                </c:pt>
                <c:pt idx="4">
                  <c:v>46</c:v>
                </c:pt>
                <c:pt idx="5">
                  <c:v>35</c:v>
                </c:pt>
                <c:pt idx="6">
                  <c:v>20</c:v>
                </c:pt>
                <c:pt idx="7">
                  <c:v>26</c:v>
                </c:pt>
                <c:pt idx="8">
                  <c:v>98</c:v>
                </c:pt>
                <c:pt idx="9">
                  <c:v>75</c:v>
                </c:pt>
                <c:pt idx="10">
                  <c:v>44</c:v>
                </c:pt>
                <c:pt idx="11">
                  <c:v>96</c:v>
                </c:pt>
              </c:numCache>
            </c:numRef>
          </c:val>
          <c:extLst>
            <c:ext xmlns:c16="http://schemas.microsoft.com/office/drawing/2014/chart" uri="{C3380CC4-5D6E-409C-BE32-E72D297353CC}">
              <c16:uniqueId val="{00000002-11CA-4785-A7CC-D0AC01538CBC}"/>
            </c:ext>
          </c:extLst>
        </c:ser>
        <c:dLbls>
          <c:showLegendKey val="0"/>
          <c:showVal val="0"/>
          <c:showCatName val="0"/>
          <c:showSerName val="0"/>
          <c:showPercent val="0"/>
          <c:showBubbleSize val="0"/>
        </c:dLbls>
        <c:gapWidth val="219"/>
        <c:overlap val="-27"/>
        <c:axId val="390151871"/>
        <c:axId val="390142751"/>
      </c:barChart>
      <c:catAx>
        <c:axId val="39015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142751"/>
        <c:crosses val="autoZero"/>
        <c:auto val="1"/>
        <c:lblAlgn val="ctr"/>
        <c:lblOffset val="100"/>
        <c:noMultiLvlLbl val="0"/>
      </c:catAx>
      <c:valAx>
        <c:axId val="3901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151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[Full_Instagram_Reels_Stats.xlsm]PVT_FOR_Insta_Posts!PivotTable4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PVT_FOR_Insta_Posts!$C$69</c:f>
              <c:strCache>
                <c:ptCount val="1"/>
                <c:pt idx="0">
                  <c:v>Sum of Shares</c:v>
                </c:pt>
              </c:strCache>
            </c:strRef>
          </c:tx>
          <c:spPr>
            <a:solidFill>
              <a:schemeClr val="accent2"/>
            </a:solidFill>
            <a:ln>
              <a:noFill/>
            </a:ln>
            <a:effectLst/>
          </c:spPr>
          <c:invertIfNegative val="0"/>
          <c:cat>
            <c:strRef>
              <c:f>PVT_FOR_Insta_Posts!$A$70:$A$82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PVT_FOR_Insta_Posts!$C$70:$C$82</c:f>
              <c:numCache>
                <c:formatCode>General</c:formatCode>
                <c:ptCount val="12"/>
                <c:pt idx="0">
                  <c:v>2939</c:v>
                </c:pt>
                <c:pt idx="1">
                  <c:v>1757</c:v>
                </c:pt>
                <c:pt idx="2">
                  <c:v>43143</c:v>
                </c:pt>
                <c:pt idx="3">
                  <c:v>367</c:v>
                </c:pt>
                <c:pt idx="4">
                  <c:v>2777</c:v>
                </c:pt>
                <c:pt idx="5">
                  <c:v>307</c:v>
                </c:pt>
                <c:pt idx="6">
                  <c:v>20927</c:v>
                </c:pt>
                <c:pt idx="7">
                  <c:v>50043</c:v>
                </c:pt>
                <c:pt idx="8">
                  <c:v>615</c:v>
                </c:pt>
                <c:pt idx="9">
                  <c:v>903</c:v>
                </c:pt>
                <c:pt idx="10">
                  <c:v>14052</c:v>
                </c:pt>
                <c:pt idx="11">
                  <c:v>31377</c:v>
                </c:pt>
              </c:numCache>
            </c:numRef>
          </c:val>
          <c:extLst>
            <c:ext xmlns:c16="http://schemas.microsoft.com/office/drawing/2014/chart" uri="{C3380CC4-5D6E-409C-BE32-E72D297353CC}">
              <c16:uniqueId val="{00000001-A9AF-4A1D-8CEE-F532DA751B7A}"/>
            </c:ext>
          </c:extLst>
        </c:ser>
        <c:ser>
          <c:idx val="2"/>
          <c:order val="2"/>
          <c:tx>
            <c:strRef>
              <c:f>PVT_FOR_Insta_Posts!$D$69</c:f>
              <c:strCache>
                <c:ptCount val="1"/>
                <c:pt idx="0">
                  <c:v>Sum of Saves</c:v>
                </c:pt>
              </c:strCache>
            </c:strRef>
          </c:tx>
          <c:spPr>
            <a:solidFill>
              <a:schemeClr val="accent3"/>
            </a:solidFill>
            <a:ln>
              <a:noFill/>
            </a:ln>
            <a:effectLst/>
          </c:spPr>
          <c:invertIfNegative val="0"/>
          <c:cat>
            <c:strRef>
              <c:f>PVT_FOR_Insta_Posts!$A$70:$A$82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PVT_FOR_Insta_Posts!$D$70:$D$82</c:f>
              <c:numCache>
                <c:formatCode>General</c:formatCode>
                <c:ptCount val="12"/>
                <c:pt idx="0">
                  <c:v>501</c:v>
                </c:pt>
                <c:pt idx="1">
                  <c:v>899</c:v>
                </c:pt>
                <c:pt idx="2">
                  <c:v>21104</c:v>
                </c:pt>
                <c:pt idx="3">
                  <c:v>362</c:v>
                </c:pt>
                <c:pt idx="4">
                  <c:v>947</c:v>
                </c:pt>
                <c:pt idx="5">
                  <c:v>352</c:v>
                </c:pt>
                <c:pt idx="6">
                  <c:v>9020</c:v>
                </c:pt>
                <c:pt idx="7">
                  <c:v>13873</c:v>
                </c:pt>
                <c:pt idx="8">
                  <c:v>201</c:v>
                </c:pt>
                <c:pt idx="9">
                  <c:v>487</c:v>
                </c:pt>
                <c:pt idx="10">
                  <c:v>11145</c:v>
                </c:pt>
                <c:pt idx="11">
                  <c:v>16342</c:v>
                </c:pt>
              </c:numCache>
            </c:numRef>
          </c:val>
          <c:extLst>
            <c:ext xmlns:c16="http://schemas.microsoft.com/office/drawing/2014/chart" uri="{C3380CC4-5D6E-409C-BE32-E72D297353CC}">
              <c16:uniqueId val="{00000002-A9AF-4A1D-8CEE-F532DA751B7A}"/>
            </c:ext>
          </c:extLst>
        </c:ser>
        <c:ser>
          <c:idx val="0"/>
          <c:order val="0"/>
          <c:tx>
            <c:strRef>
              <c:f>PVT_FOR_Insta_Posts!$B$69</c:f>
              <c:strCache>
                <c:ptCount val="1"/>
                <c:pt idx="0">
                  <c:v>Sum of Comments</c:v>
                </c:pt>
              </c:strCache>
            </c:strRef>
          </c:tx>
          <c:spPr>
            <a:solidFill>
              <a:schemeClr val="accent1"/>
            </a:solidFill>
            <a:ln>
              <a:noFill/>
            </a:ln>
            <a:effectLst/>
          </c:spPr>
          <c:invertIfNegative val="0"/>
          <c:cat>
            <c:strRef>
              <c:f>PVT_FOR_Insta_Posts!$A$70:$A$82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PVT_FOR_Insta_Posts!$B$70:$B$82</c:f>
              <c:numCache>
                <c:formatCode>General</c:formatCode>
                <c:ptCount val="12"/>
                <c:pt idx="0">
                  <c:v>113</c:v>
                </c:pt>
                <c:pt idx="1">
                  <c:v>99</c:v>
                </c:pt>
                <c:pt idx="2">
                  <c:v>863</c:v>
                </c:pt>
                <c:pt idx="3">
                  <c:v>49</c:v>
                </c:pt>
                <c:pt idx="4">
                  <c:v>150</c:v>
                </c:pt>
                <c:pt idx="5">
                  <c:v>71</c:v>
                </c:pt>
                <c:pt idx="6">
                  <c:v>283</c:v>
                </c:pt>
                <c:pt idx="7">
                  <c:v>682</c:v>
                </c:pt>
                <c:pt idx="8">
                  <c:v>54</c:v>
                </c:pt>
                <c:pt idx="9">
                  <c:v>77</c:v>
                </c:pt>
                <c:pt idx="10">
                  <c:v>310</c:v>
                </c:pt>
                <c:pt idx="11">
                  <c:v>453</c:v>
                </c:pt>
              </c:numCache>
            </c:numRef>
          </c:val>
          <c:extLst>
            <c:ext xmlns:c16="http://schemas.microsoft.com/office/drawing/2014/chart" uri="{C3380CC4-5D6E-409C-BE32-E72D297353CC}">
              <c16:uniqueId val="{00000000-A9AF-4A1D-8CEE-F532DA751B7A}"/>
            </c:ext>
          </c:extLst>
        </c:ser>
        <c:dLbls>
          <c:showLegendKey val="0"/>
          <c:showVal val="0"/>
          <c:showCatName val="0"/>
          <c:showSerName val="0"/>
          <c:showPercent val="0"/>
          <c:showBubbleSize val="0"/>
        </c:dLbls>
        <c:gapWidth val="219"/>
        <c:axId val="1458846975"/>
        <c:axId val="1458838815"/>
      </c:barChart>
      <c:catAx>
        <c:axId val="1458846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838815"/>
        <c:crosses val="autoZero"/>
        <c:auto val="1"/>
        <c:lblAlgn val="ctr"/>
        <c:lblOffset val="100"/>
        <c:noMultiLvlLbl val="0"/>
      </c:catAx>
      <c:valAx>
        <c:axId val="1458838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846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[Full_Instagram_Reels_Stats.xlsm]PVT_FOR_Insta_Posts!PivotTable5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PVT_FOR_Insta_Posts!$B$94</c:f>
              <c:strCache>
                <c:ptCount val="1"/>
                <c:pt idx="0">
                  <c:v>Sum of Reach</c:v>
                </c:pt>
              </c:strCache>
            </c:strRef>
          </c:tx>
          <c:spPr>
            <a:solidFill>
              <a:schemeClr val="accent1"/>
            </a:solidFill>
            <a:ln>
              <a:noFill/>
            </a:ln>
            <a:effectLst/>
          </c:spPr>
          <c:invertIfNegative val="0"/>
          <c:cat>
            <c:strRef>
              <c:f>PVT_FOR_Insta_Posts!$A$95:$A$100</c:f>
              <c:strCache>
                <c:ptCount val="6"/>
                <c:pt idx="0">
                  <c:v>Mar 18 2024 6:20 am</c:v>
                </c:pt>
                <c:pt idx="1">
                  <c:v>Aug 10 2024 7:06 am</c:v>
                </c:pt>
                <c:pt idx="2">
                  <c:v>Dec 30 2024 1:49 pm</c:v>
                </c:pt>
                <c:pt idx="3">
                  <c:v>Nov 18 2024 12:50 pm</c:v>
                </c:pt>
                <c:pt idx="4">
                  <c:v>Jul 21 2024 6:59 am</c:v>
                </c:pt>
                <c:pt idx="5">
                  <c:v>Dec 06 2023 4:54 am</c:v>
                </c:pt>
              </c:strCache>
            </c:strRef>
          </c:cat>
          <c:val>
            <c:numRef>
              <c:f>PVT_FOR_Insta_Posts!$B$95:$B$100</c:f>
              <c:numCache>
                <c:formatCode>#,##0</c:formatCode>
                <c:ptCount val="6"/>
                <c:pt idx="0">
                  <c:v>638798</c:v>
                </c:pt>
                <c:pt idx="1">
                  <c:v>606337</c:v>
                </c:pt>
                <c:pt idx="2">
                  <c:v>561399</c:v>
                </c:pt>
                <c:pt idx="3">
                  <c:v>426039</c:v>
                </c:pt>
                <c:pt idx="4">
                  <c:v>370102</c:v>
                </c:pt>
                <c:pt idx="5">
                  <c:v>203696</c:v>
                </c:pt>
              </c:numCache>
            </c:numRef>
          </c:val>
          <c:extLst>
            <c:ext xmlns:c16="http://schemas.microsoft.com/office/drawing/2014/chart" uri="{C3380CC4-5D6E-409C-BE32-E72D297353CC}">
              <c16:uniqueId val="{00000000-37C2-46CC-8FDB-C6B68B6EFFC1}"/>
            </c:ext>
          </c:extLst>
        </c:ser>
        <c:ser>
          <c:idx val="1"/>
          <c:order val="1"/>
          <c:tx>
            <c:strRef>
              <c:f>PVT_FOR_Insta_Posts!$C$94</c:f>
              <c:strCache>
                <c:ptCount val="1"/>
                <c:pt idx="0">
                  <c:v>Sum of Likes</c:v>
                </c:pt>
              </c:strCache>
            </c:strRef>
          </c:tx>
          <c:spPr>
            <a:solidFill>
              <a:schemeClr val="accent2"/>
            </a:solidFill>
            <a:ln>
              <a:noFill/>
            </a:ln>
            <a:effectLst/>
          </c:spPr>
          <c:invertIfNegative val="0"/>
          <c:cat>
            <c:strRef>
              <c:f>PVT_FOR_Insta_Posts!$A$95:$A$100</c:f>
              <c:strCache>
                <c:ptCount val="6"/>
                <c:pt idx="0">
                  <c:v>Mar 18 2024 6:20 am</c:v>
                </c:pt>
                <c:pt idx="1">
                  <c:v>Aug 10 2024 7:06 am</c:v>
                </c:pt>
                <c:pt idx="2">
                  <c:v>Dec 30 2024 1:49 pm</c:v>
                </c:pt>
                <c:pt idx="3">
                  <c:v>Nov 18 2024 12:50 pm</c:v>
                </c:pt>
                <c:pt idx="4">
                  <c:v>Jul 21 2024 6:59 am</c:v>
                </c:pt>
                <c:pt idx="5">
                  <c:v>Dec 06 2023 4:54 am</c:v>
                </c:pt>
              </c:strCache>
            </c:strRef>
          </c:cat>
          <c:val>
            <c:numRef>
              <c:f>PVT_FOR_Insta_Posts!$C$95:$C$100</c:f>
              <c:numCache>
                <c:formatCode>#,##0</c:formatCode>
                <c:ptCount val="6"/>
                <c:pt idx="0">
                  <c:v>89336</c:v>
                </c:pt>
                <c:pt idx="1">
                  <c:v>121389</c:v>
                </c:pt>
                <c:pt idx="2">
                  <c:v>24317</c:v>
                </c:pt>
                <c:pt idx="3">
                  <c:v>36507</c:v>
                </c:pt>
                <c:pt idx="4">
                  <c:v>25117</c:v>
                </c:pt>
                <c:pt idx="5">
                  <c:v>24101</c:v>
                </c:pt>
              </c:numCache>
            </c:numRef>
          </c:val>
          <c:extLst>
            <c:ext xmlns:c16="http://schemas.microsoft.com/office/drawing/2014/chart" uri="{C3380CC4-5D6E-409C-BE32-E72D297353CC}">
              <c16:uniqueId val="{00000001-37C2-46CC-8FDB-C6B68B6EFFC1}"/>
            </c:ext>
          </c:extLst>
        </c:ser>
        <c:ser>
          <c:idx val="2"/>
          <c:order val="2"/>
          <c:tx>
            <c:strRef>
              <c:f>PVT_FOR_Insta_Posts!$D$94</c:f>
              <c:strCache>
                <c:ptCount val="1"/>
                <c:pt idx="0">
                  <c:v>Sum of Shares</c:v>
                </c:pt>
              </c:strCache>
            </c:strRef>
          </c:tx>
          <c:spPr>
            <a:solidFill>
              <a:schemeClr val="accent3"/>
            </a:solidFill>
            <a:ln>
              <a:noFill/>
            </a:ln>
            <a:effectLst/>
          </c:spPr>
          <c:invertIfNegative val="0"/>
          <c:cat>
            <c:strRef>
              <c:f>PVT_FOR_Insta_Posts!$A$95:$A$100</c:f>
              <c:strCache>
                <c:ptCount val="6"/>
                <c:pt idx="0">
                  <c:v>Mar 18 2024 6:20 am</c:v>
                </c:pt>
                <c:pt idx="1">
                  <c:v>Aug 10 2024 7:06 am</c:v>
                </c:pt>
                <c:pt idx="2">
                  <c:v>Dec 30 2024 1:49 pm</c:v>
                </c:pt>
                <c:pt idx="3">
                  <c:v>Nov 18 2024 12:50 pm</c:v>
                </c:pt>
                <c:pt idx="4">
                  <c:v>Jul 21 2024 6:59 am</c:v>
                </c:pt>
                <c:pt idx="5">
                  <c:v>Dec 06 2023 4:54 am</c:v>
                </c:pt>
              </c:strCache>
            </c:strRef>
          </c:cat>
          <c:val>
            <c:numRef>
              <c:f>PVT_FOR_Insta_Posts!$D$95:$D$100</c:f>
              <c:numCache>
                <c:formatCode>#,##0</c:formatCode>
                <c:ptCount val="6"/>
                <c:pt idx="0">
                  <c:v>40416</c:v>
                </c:pt>
                <c:pt idx="1">
                  <c:v>49795</c:v>
                </c:pt>
                <c:pt idx="2">
                  <c:v>15842</c:v>
                </c:pt>
                <c:pt idx="3">
                  <c:v>13603</c:v>
                </c:pt>
                <c:pt idx="4">
                  <c:v>20683</c:v>
                </c:pt>
                <c:pt idx="5">
                  <c:v>14263</c:v>
                </c:pt>
              </c:numCache>
            </c:numRef>
          </c:val>
          <c:extLst>
            <c:ext xmlns:c16="http://schemas.microsoft.com/office/drawing/2014/chart" uri="{C3380CC4-5D6E-409C-BE32-E72D297353CC}">
              <c16:uniqueId val="{00000002-37C2-46CC-8FDB-C6B68B6EFFC1}"/>
            </c:ext>
          </c:extLst>
        </c:ser>
        <c:dLbls>
          <c:showLegendKey val="0"/>
          <c:showVal val="0"/>
          <c:showCatName val="0"/>
          <c:showSerName val="0"/>
          <c:showPercent val="0"/>
          <c:showBubbleSize val="0"/>
        </c:dLbls>
        <c:gapWidth val="219"/>
        <c:overlap val="-27"/>
        <c:axId val="1643631120"/>
        <c:axId val="1643631600"/>
      </c:barChart>
      <c:catAx>
        <c:axId val="164363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631600"/>
        <c:crosses val="autoZero"/>
        <c:auto val="1"/>
        <c:lblAlgn val="ctr"/>
        <c:lblOffset val="100"/>
        <c:noMultiLvlLbl val="0"/>
      </c:catAx>
      <c:valAx>
        <c:axId val="1643631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631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129540</xdr:colOff>
      <xdr:row>7</xdr:row>
      <xdr:rowOff>152401</xdr:rowOff>
    </xdr:from>
    <xdr:to>
      <xdr:col>3</xdr:col>
      <xdr:colOff>802640</xdr:colOff>
      <xdr:row>20</xdr:row>
      <xdr:rowOff>102871</xdr:rowOff>
    </xdr:to>
    <mc:AlternateContent xmlns:mc="http://schemas.openxmlformats.org/markup-compatibility/2006" xmlns:a14="http://schemas.microsoft.com/office/drawing/2010/main">
      <mc:Choice Requires="a14">
        <xdr:graphicFrame macro="">
          <xdr:nvGraphicFramePr>
            <xdr:cNvPr id="2" name="Day">
              <a:extLst>
                <a:ext uri="{FF2B5EF4-FFF2-40B4-BE49-F238E27FC236}">
                  <a16:creationId xmlns:a16="http://schemas.microsoft.com/office/drawing/2014/main" id="{1592F87F-7BC5-E5BA-CA4E-FF66E79B3915}"/>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2733040" y="1397001"/>
              <a:ext cx="1828800" cy="2265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22860</xdr:rowOff>
    </xdr:from>
    <xdr:to>
      <xdr:col>1</xdr:col>
      <xdr:colOff>2006600</xdr:colOff>
      <xdr:row>4</xdr:row>
      <xdr:rowOff>634</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D095C389-9C9E-D3C9-4E1F-A0225B1D303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22860"/>
              <a:ext cx="3479800" cy="6781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327658</xdr:colOff>
      <xdr:row>7</xdr:row>
      <xdr:rowOff>0</xdr:rowOff>
    </xdr:from>
    <xdr:to>
      <xdr:col>19</xdr:col>
      <xdr:colOff>101600</xdr:colOff>
      <xdr:row>31</xdr:row>
      <xdr:rowOff>0</xdr:rowOff>
    </xdr:to>
    <xdr:graphicFrame macro="">
      <xdr:nvGraphicFramePr>
        <xdr:cNvPr id="4" name="Chart 3">
          <a:extLst>
            <a:ext uri="{FF2B5EF4-FFF2-40B4-BE49-F238E27FC236}">
              <a16:creationId xmlns:a16="http://schemas.microsoft.com/office/drawing/2014/main" id="{373BE54F-1B31-5909-F246-656BC740CD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374650</xdr:colOff>
      <xdr:row>33</xdr:row>
      <xdr:rowOff>6350</xdr:rowOff>
    </xdr:from>
    <xdr:to>
      <xdr:col>19</xdr:col>
      <xdr:colOff>101600</xdr:colOff>
      <xdr:row>49</xdr:row>
      <xdr:rowOff>76200</xdr:rowOff>
    </xdr:to>
    <xdr:graphicFrame macro="">
      <xdr:nvGraphicFramePr>
        <xdr:cNvPr id="5" name="Chart 4">
          <a:extLst>
            <a:ext uri="{FF2B5EF4-FFF2-40B4-BE49-F238E27FC236}">
              <a16:creationId xmlns:a16="http://schemas.microsoft.com/office/drawing/2014/main" id="{2B37B08E-ABD3-7B67-70D7-FC6A59159F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298450</xdr:colOff>
      <xdr:row>51</xdr:row>
      <xdr:rowOff>57150</xdr:rowOff>
    </xdr:from>
    <xdr:to>
      <xdr:col>19</xdr:col>
      <xdr:colOff>38100</xdr:colOff>
      <xdr:row>66</xdr:row>
      <xdr:rowOff>133350</xdr:rowOff>
    </xdr:to>
    <xdr:graphicFrame macro="">
      <xdr:nvGraphicFramePr>
        <xdr:cNvPr id="6" name="Chart 5">
          <a:extLst>
            <a:ext uri="{FF2B5EF4-FFF2-40B4-BE49-F238E27FC236}">
              <a16:creationId xmlns:a16="http://schemas.microsoft.com/office/drawing/2014/main" id="{3368C4C0-BCB9-7537-342C-5E8DD9880F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438150</xdr:colOff>
      <xdr:row>67</xdr:row>
      <xdr:rowOff>19050</xdr:rowOff>
    </xdr:from>
    <xdr:to>
      <xdr:col>20</xdr:col>
      <xdr:colOff>520700</xdr:colOff>
      <xdr:row>88</xdr:row>
      <xdr:rowOff>165100</xdr:rowOff>
    </xdr:to>
    <xdr:graphicFrame macro="">
      <xdr:nvGraphicFramePr>
        <xdr:cNvPr id="7" name="Chart 6">
          <a:extLst>
            <a:ext uri="{FF2B5EF4-FFF2-40B4-BE49-F238E27FC236}">
              <a16:creationId xmlns:a16="http://schemas.microsoft.com/office/drawing/2014/main" id="{0C0A6DC5-5E1A-4703-219C-F0B519CAA4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565150</xdr:colOff>
      <xdr:row>90</xdr:row>
      <xdr:rowOff>107950</xdr:rowOff>
    </xdr:from>
    <xdr:to>
      <xdr:col>20</xdr:col>
      <xdr:colOff>25400</xdr:colOff>
      <xdr:row>106</xdr:row>
      <xdr:rowOff>6350</xdr:rowOff>
    </xdr:to>
    <xdr:graphicFrame macro="">
      <xdr:nvGraphicFramePr>
        <xdr:cNvPr id="8" name="Chart 7">
          <a:extLst>
            <a:ext uri="{FF2B5EF4-FFF2-40B4-BE49-F238E27FC236}">
              <a16:creationId xmlns:a16="http://schemas.microsoft.com/office/drawing/2014/main" id="{B1C911A3-EBBE-B6E6-ED9C-732C6C1340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PIRE 7" refreshedDate="45753.95894409722" createdVersion="8" refreshedVersion="8" minRefreshableVersion="3" recordCount="474" xr:uid="{7A4C81C9-84E9-4E7F-B761-CB71980AB78A}">
  <cacheSource type="worksheet">
    <worksheetSource name="Table1"/>
  </cacheSource>
  <cacheFields count="16">
    <cacheField name="Upload Timestamp" numFmtId="164">
      <sharedItems/>
    </cacheField>
    <cacheField name="Date" numFmtId="164">
      <sharedItems containsSemiMixedTypes="0" containsNonDate="0" containsDate="1" containsString="0" minDate="2023-11-13T00:00:00" maxDate="2025-02-27T00:00:00"/>
    </cacheField>
    <cacheField name="Year" numFmtId="0">
      <sharedItems containsSemiMixedTypes="0" containsString="0" containsNumber="1" containsInteger="1" minValue="2023" maxValue="2025" count="3">
        <n v="2025"/>
        <n v="2024"/>
        <n v="2023"/>
      </sharedItems>
    </cacheField>
    <cacheField name="Month" numFmtId="0">
      <sharedItems count="12">
        <s v="February"/>
        <s v="January"/>
        <s v="December"/>
        <s v="November"/>
        <s v="October"/>
        <s v="September"/>
        <s v="August"/>
        <s v="July"/>
        <s v="June"/>
        <s v="May"/>
        <s v="April"/>
        <s v="March"/>
      </sharedItems>
    </cacheField>
    <cacheField name="Day" numFmtId="0">
      <sharedItems count="7">
        <s v="Wednesday"/>
        <s v="Tuesday"/>
        <s v="Monday"/>
        <s v="Saturday"/>
        <s v="Friday"/>
        <s v="Thursday"/>
        <s v="Sunday"/>
      </sharedItems>
    </cacheField>
    <cacheField name="Time Stamp" numFmtId="18">
      <sharedItems containsSemiMixedTypes="0" containsNonDate="0" containsDate="1" containsString="0" minDate="1899-12-30T02:21:00" maxDate="1899-12-30T23:36:00"/>
    </cacheField>
    <cacheField name="Time Range" numFmtId="18">
      <sharedItems count="22">
        <s v="9:00 PM – 10:00 PM"/>
        <s v="3:00 PM – 4:00 PM"/>
        <s v="4:00 PM – 5:00 PM"/>
        <s v="7:00 AM – 8:00 AM"/>
        <s v="5:00 PM – 6:00 PM"/>
        <s v="7:00 PM – 8:00 PM"/>
        <s v="5:00 AM – 6:00 AM"/>
        <s v="2:00 PM – 3:00 PM"/>
        <s v="1:00 PM – 2:00 PM"/>
        <s v="10:00 AM – 11:00 AM"/>
        <s v="8:00 PM – 9:00 PM"/>
        <s v="12:00 PM – 1:00 PM"/>
        <s v="6:00 AM – 7:00 AM"/>
        <s v="11:00 AM – 12:00 PM"/>
        <s v="4:00 AM – 5:00 AM"/>
        <s v="6:00 PM – 7:00 PM"/>
        <s v="3:00 AM – 4:00 AM"/>
        <s v="9:00 AM – 10:00 AM"/>
        <s v="11:00 PM – 12:00 AM"/>
        <s v="8:00 AM – 9:00 AM"/>
        <s v="2:00 AM – 3:00 AM"/>
        <s v="10:00 PM – 11:00 PM"/>
      </sharedItems>
    </cacheField>
    <cacheField name="Post Number" numFmtId="0">
      <sharedItems containsSemiMixedTypes="0" containsString="0" containsNumber="1" containsInteger="1" minValue="82" maxValue="557"/>
    </cacheField>
    <cacheField name="Followers" numFmtId="0">
      <sharedItems containsSemiMixedTypes="0" containsString="0" containsNumber="1" containsInteger="1" minValue="24" maxValue="1296"/>
    </cacheField>
    <cacheField name="Likes" numFmtId="0">
      <sharedItems containsSemiMixedTypes="0" containsString="0" containsNumber="1" containsInteger="1" minValue="0" maxValue="121389"/>
    </cacheField>
    <cacheField name="Reach" numFmtId="0">
      <sharedItems containsSemiMixedTypes="0" containsString="0" containsNumber="1" containsInteger="1" minValue="4" maxValue="638798"/>
    </cacheField>
    <cacheField name="Comments" numFmtId="0">
      <sharedItems containsSemiMixedTypes="0" containsString="0" containsNumber="1" containsInteger="1" minValue="0" maxValue="744"/>
    </cacheField>
    <cacheField name="Shares" numFmtId="0">
      <sharedItems containsSemiMixedTypes="0" containsString="0" containsNumber="1" containsInteger="1" minValue="0" maxValue="49795"/>
    </cacheField>
    <cacheField name="Saves" numFmtId="0">
      <sharedItems containsSemiMixedTypes="0" containsString="0" containsNumber="1" containsInteger="1" minValue="0" maxValue="19663"/>
    </cacheField>
    <cacheField name="Plays" numFmtId="0">
      <sharedItems containsSemiMixedTypes="0" containsString="0" containsNumber="1" containsInteger="1" minValue="4" maxValue="767087"/>
    </cacheField>
    <cacheField name="Followers Gained" numFmtId="0">
      <sharedItems containsSemiMixedTypes="0" containsString="0" containsNumber="1" containsInteger="1" minValue="-6" maxValue="139"/>
    </cacheField>
  </cacheFields>
  <extLst>
    <ext xmlns:x14="http://schemas.microsoft.com/office/spreadsheetml/2009/9/main" uri="{725AE2AE-9491-48be-B2B4-4EB974FC3084}">
      <x14:pivotCacheDefinition pivotCacheId="88944726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PIRE 7" refreshedDate="45754.538475000001" createdVersion="8" refreshedVersion="8" minRefreshableVersion="3" recordCount="6" xr:uid="{BF5D03B6-3252-403E-9088-139870182FA2}">
  <cacheSource type="worksheet">
    <worksheetSource name="Table2"/>
  </cacheSource>
  <cacheFields count="21">
    <cacheField name="Upload Timestamp" numFmtId="164">
      <sharedItems count="6">
        <s v="Aug 10 2024 7:06 am"/>
        <s v="Mar 18 2024 6:20 am"/>
        <s v="Nov 18 2024 12:50 pm"/>
        <s v="Jul 21 2024 6:59 am"/>
        <s v="Dec 30 2024 1:49 pm"/>
        <s v="Dec 06 2023 4:54 am"/>
      </sharedItems>
    </cacheField>
    <cacheField name="Date" numFmtId="164">
      <sharedItems containsSemiMixedTypes="0" containsNonDate="0" containsDate="1" containsString="0" minDate="2023-12-06T00:00:00" maxDate="2024-12-31T00:00:00" count="6">
        <d v="2024-08-10T00:00:00"/>
        <d v="2024-03-18T00:00:00"/>
        <d v="2024-11-18T00:00:00"/>
        <d v="2024-07-21T00:00:00"/>
        <d v="2024-12-30T00:00:00"/>
        <d v="2023-12-06T00:00:00"/>
      </sharedItems>
      <fieldGroup par="18"/>
    </cacheField>
    <cacheField name="Year" numFmtId="0">
      <sharedItems containsSemiMixedTypes="0" containsString="0" containsNumber="1" containsInteger="1" minValue="2023" maxValue="2024"/>
    </cacheField>
    <cacheField name="Month" numFmtId="0">
      <sharedItems/>
    </cacheField>
    <cacheField name="Day" numFmtId="0">
      <sharedItems count="4">
        <s v="Saturday"/>
        <s v="Monday"/>
        <s v="Sunday"/>
        <s v="Wednesday"/>
      </sharedItems>
    </cacheField>
    <cacheField name="Time Stamp" numFmtId="18">
      <sharedItems containsSemiMixedTypes="0" containsNonDate="0" containsDate="1" containsString="0" minDate="1899-12-30T04:54:00" maxDate="1899-12-30T13:49:00" count="6">
        <d v="1899-12-30T07:06:00"/>
        <d v="1899-12-30T06:20:00"/>
        <d v="1899-12-30T12:50:00"/>
        <d v="1899-12-30T06:59:00"/>
        <d v="1899-12-30T13:49:00"/>
        <d v="1899-12-30T04:54:00"/>
      </sharedItems>
      <fieldGroup par="20"/>
    </cacheField>
    <cacheField name="Time Range" numFmtId="18">
      <sharedItems/>
    </cacheField>
    <cacheField name="Post Number" numFmtId="0">
      <sharedItems containsSemiMixedTypes="0" containsString="0" containsNumber="1" containsInteger="1" minValue="106" maxValue="500"/>
    </cacheField>
    <cacheField name="Followers" numFmtId="3">
      <sharedItems containsSemiMixedTypes="0" containsString="0" containsNumber="1" containsInteger="1" minValue="29" maxValue="824"/>
    </cacheField>
    <cacheField name="Likes" numFmtId="3">
      <sharedItems containsSemiMixedTypes="0" containsString="0" containsNumber="1" containsInteger="1" minValue="24101" maxValue="121389"/>
    </cacheField>
    <cacheField name="Reach" numFmtId="3">
      <sharedItems containsSemiMixedTypes="0" containsString="0" containsNumber="1" containsInteger="1" minValue="203696" maxValue="638798"/>
    </cacheField>
    <cacheField name="Comments" numFmtId="3">
      <sharedItems containsSemiMixedTypes="0" containsString="0" containsNumber="1" containsInteger="1" minValue="67" maxValue="744"/>
    </cacheField>
    <cacheField name="Shares" numFmtId="3">
      <sharedItems containsSemiMixedTypes="0" containsString="0" containsNumber="1" containsInteger="1" minValue="13603" maxValue="49795"/>
    </cacheField>
    <cacheField name="Saves" numFmtId="3">
      <sharedItems containsSemiMixedTypes="0" containsString="0" containsNumber="1" containsInteger="1" minValue="5138" maxValue="19663"/>
    </cacheField>
    <cacheField name="Plays" numFmtId="3">
      <sharedItems containsSemiMixedTypes="0" containsString="0" containsNumber="1" containsInteger="1" minValue="218758" maxValue="767087"/>
    </cacheField>
    <cacheField name="Percentage Contribution" numFmtId="165">
      <sharedItems containsSemiMixedTypes="0" containsString="0" containsNumber="1" minValue="6.2528701759555994E-2" maxValue="0.1960922631107182"/>
    </cacheField>
    <cacheField name="Months (Date)" numFmtId="0" databaseField="0">
      <fieldGroup base="1">
        <rangePr groupBy="months" startDate="2023-12-06T00:00:00" endDate="2024-12-31T00:00:00"/>
        <groupItems count="14">
          <s v="&lt;06-12-2023"/>
          <s v="Jan"/>
          <s v="Feb"/>
          <s v="Mar"/>
          <s v="Apr"/>
          <s v="May"/>
          <s v="Jun"/>
          <s v="Jul"/>
          <s v="Aug"/>
          <s v="Sep"/>
          <s v="Oct"/>
          <s v="Nov"/>
          <s v="Dec"/>
          <s v="&gt;31-12-2024"/>
        </groupItems>
      </fieldGroup>
    </cacheField>
    <cacheField name="Quarters (Date)" numFmtId="0" databaseField="0">
      <fieldGroup base="1">
        <rangePr groupBy="quarters" startDate="2023-12-06T00:00:00" endDate="2024-12-31T00:00:00"/>
        <groupItems count="6">
          <s v="&lt;06-12-2023"/>
          <s v="Qtr1"/>
          <s v="Qtr2"/>
          <s v="Qtr3"/>
          <s v="Qtr4"/>
          <s v="&gt;31-12-2024"/>
        </groupItems>
      </fieldGroup>
    </cacheField>
    <cacheField name="Years (Date)" numFmtId="0" databaseField="0">
      <fieldGroup base="1">
        <rangePr groupBy="years" startDate="2023-12-06T00:00:00" endDate="2024-12-31T00:00:00"/>
        <groupItems count="4">
          <s v="&lt;06-12-2023"/>
          <s v="2023"/>
          <s v="2024"/>
          <s v="&gt;31-12-2024"/>
        </groupItems>
      </fieldGroup>
    </cacheField>
    <cacheField name="Minutes (Time Stamp)" numFmtId="0" databaseField="0">
      <fieldGroup base="5">
        <rangePr groupBy="minutes" startDate="1899-12-30T04:54:00" endDate="1899-12-30T13:49: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Time Stamp)" numFmtId="0" databaseField="0">
      <fieldGroup base="5">
        <rangePr groupBy="hours" startDate="1899-12-30T04:54:00" endDate="1899-12-30T13:49:00"/>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4">
  <r>
    <s v="Feb 26 2025 9:35 pm"/>
    <d v="2025-02-26T00:00:00"/>
    <x v="0"/>
    <x v="0"/>
    <x v="0"/>
    <d v="1899-12-30T21:35:00"/>
    <x v="0"/>
    <n v="557"/>
    <n v="1286"/>
    <n v="0"/>
    <n v="4"/>
    <n v="1"/>
    <n v="0"/>
    <n v="0"/>
    <n v="4"/>
    <n v="2"/>
  </r>
  <r>
    <s v="Feb 25 2025 3:00 pm"/>
    <d v="2025-02-25T00:00:00"/>
    <x v="0"/>
    <x v="0"/>
    <x v="1"/>
    <d v="1899-12-30T15:00:00"/>
    <x v="1"/>
    <n v="556"/>
    <n v="1284"/>
    <n v="39"/>
    <n v="1533"/>
    <n v="7"/>
    <n v="18"/>
    <n v="8"/>
    <n v="1572"/>
    <n v="-3"/>
  </r>
  <r>
    <s v="Feb 24 2025 4:11 pm"/>
    <d v="2025-02-24T00:00:00"/>
    <x v="0"/>
    <x v="0"/>
    <x v="2"/>
    <d v="1899-12-30T16:11:00"/>
    <x v="2"/>
    <n v="555"/>
    <n v="1287"/>
    <n v="77"/>
    <n v="1273"/>
    <n v="1"/>
    <n v="47"/>
    <n v="5"/>
    <n v="1272"/>
    <n v="-2"/>
  </r>
  <r>
    <s v="Feb 22 2025 7:28 am"/>
    <d v="2025-02-22T00:00:00"/>
    <x v="0"/>
    <x v="0"/>
    <x v="3"/>
    <d v="1899-12-30T07:28:00"/>
    <x v="3"/>
    <n v="554"/>
    <n v="1289"/>
    <n v="7"/>
    <n v="125"/>
    <n v="2"/>
    <n v="2"/>
    <n v="2"/>
    <n v="129"/>
    <n v="0"/>
  </r>
  <r>
    <s v="Feb 21 2025 4:56 pm"/>
    <d v="2025-02-21T00:00:00"/>
    <x v="0"/>
    <x v="0"/>
    <x v="4"/>
    <d v="1899-12-30T16:56:00"/>
    <x v="2"/>
    <n v="553"/>
    <n v="1289"/>
    <n v="3"/>
    <n v="27"/>
    <n v="1"/>
    <n v="1"/>
    <n v="1"/>
    <n v="26"/>
    <n v="0"/>
  </r>
  <r>
    <s v="Feb 20 2025 5:39 pm"/>
    <d v="2025-02-20T00:00:00"/>
    <x v="0"/>
    <x v="0"/>
    <x v="5"/>
    <d v="1899-12-30T17:39:00"/>
    <x v="4"/>
    <n v="552"/>
    <n v="1289"/>
    <n v="9"/>
    <n v="215"/>
    <n v="1"/>
    <n v="4"/>
    <n v="4"/>
    <n v="219"/>
    <n v="1"/>
  </r>
  <r>
    <s v="Feb 19 2025 7:55 pm"/>
    <d v="2025-02-19T00:00:00"/>
    <x v="0"/>
    <x v="0"/>
    <x v="0"/>
    <d v="1899-12-30T19:55:00"/>
    <x v="5"/>
    <n v="551"/>
    <n v="1288"/>
    <n v="2"/>
    <n v="124"/>
    <n v="1"/>
    <n v="0"/>
    <n v="0"/>
    <n v="123"/>
    <n v="-1"/>
  </r>
  <r>
    <s v="Feb 18 2025 3:25 pm"/>
    <d v="2025-02-18T00:00:00"/>
    <x v="0"/>
    <x v="0"/>
    <x v="1"/>
    <d v="1899-12-30T15:25:00"/>
    <x v="1"/>
    <n v="550"/>
    <n v="1289"/>
    <n v="54"/>
    <n v="1307"/>
    <n v="1"/>
    <n v="6"/>
    <n v="22"/>
    <n v="1323"/>
    <n v="1"/>
  </r>
  <r>
    <s v="Feb 17 2025 7:04 am"/>
    <d v="2025-02-17T00:00:00"/>
    <x v="0"/>
    <x v="0"/>
    <x v="2"/>
    <d v="1899-12-30T07:04:00"/>
    <x v="3"/>
    <n v="549"/>
    <n v="1288"/>
    <n v="52"/>
    <n v="1056"/>
    <n v="1"/>
    <n v="1"/>
    <n v="5"/>
    <n v="1052"/>
    <n v="0"/>
  </r>
  <r>
    <s v="Feb 16 2025 4:04 pm"/>
    <d v="2025-02-16T00:00:00"/>
    <x v="0"/>
    <x v="0"/>
    <x v="6"/>
    <d v="1899-12-30T16:04:00"/>
    <x v="2"/>
    <n v="548"/>
    <n v="1288"/>
    <n v="10"/>
    <n v="194"/>
    <n v="1"/>
    <n v="6"/>
    <n v="1"/>
    <n v="200"/>
    <n v="-2"/>
  </r>
  <r>
    <s v="Feb 15 2025 5:33 am"/>
    <d v="2025-02-15T00:00:00"/>
    <x v="0"/>
    <x v="0"/>
    <x v="3"/>
    <d v="1899-12-30T05:33:00"/>
    <x v="6"/>
    <n v="547"/>
    <n v="1290"/>
    <n v="1"/>
    <n v="55"/>
    <n v="2"/>
    <n v="22"/>
    <n v="1"/>
    <n v="54"/>
    <n v="-1"/>
  </r>
  <r>
    <s v="Feb 14 2025 7:49 pm"/>
    <d v="2025-02-14T00:00:00"/>
    <x v="0"/>
    <x v="0"/>
    <x v="4"/>
    <d v="1899-12-30T19:49:00"/>
    <x v="5"/>
    <n v="546"/>
    <n v="1291"/>
    <n v="1"/>
    <n v="99"/>
    <n v="1"/>
    <n v="0"/>
    <n v="0"/>
    <n v="101"/>
    <n v="-2"/>
  </r>
  <r>
    <s v="Feb 13 2025 2:49 pm"/>
    <d v="2025-02-13T00:00:00"/>
    <x v="0"/>
    <x v="0"/>
    <x v="5"/>
    <d v="1899-12-30T14:49:00"/>
    <x v="7"/>
    <n v="545"/>
    <n v="1293"/>
    <n v="4"/>
    <n v="189"/>
    <n v="2"/>
    <n v="1"/>
    <n v="0"/>
    <n v="188"/>
    <n v="0"/>
  </r>
  <r>
    <s v="Feb 12 2025 2:13 pm"/>
    <d v="2025-02-12T00:00:00"/>
    <x v="0"/>
    <x v="0"/>
    <x v="0"/>
    <d v="1899-12-30T14:13:00"/>
    <x v="7"/>
    <n v="544"/>
    <n v="1293"/>
    <n v="35"/>
    <n v="670"/>
    <n v="1"/>
    <n v="24"/>
    <n v="9"/>
    <n v="669"/>
    <n v="0"/>
  </r>
  <r>
    <s v="Feb 11 2025 2:41 pm"/>
    <d v="2025-02-11T00:00:00"/>
    <x v="0"/>
    <x v="0"/>
    <x v="1"/>
    <d v="1899-12-30T14:41:00"/>
    <x v="7"/>
    <n v="543"/>
    <n v="1293"/>
    <n v="20"/>
    <n v="524"/>
    <n v="1"/>
    <n v="2"/>
    <n v="0"/>
    <n v="527"/>
    <n v="0"/>
  </r>
  <r>
    <s v="Feb 10 2025 3:05 pm"/>
    <d v="2025-02-10T00:00:00"/>
    <x v="0"/>
    <x v="0"/>
    <x v="2"/>
    <d v="1899-12-30T15:05:00"/>
    <x v="1"/>
    <n v="542"/>
    <n v="1293"/>
    <n v="8"/>
    <n v="245"/>
    <n v="1"/>
    <n v="1"/>
    <n v="3"/>
    <n v="249"/>
    <n v="-2"/>
  </r>
  <r>
    <s v="Feb 09 2025 3:15 pm"/>
    <d v="2025-02-09T00:00:00"/>
    <x v="0"/>
    <x v="0"/>
    <x v="6"/>
    <d v="1899-12-30T15:15:00"/>
    <x v="1"/>
    <n v="541"/>
    <n v="1295"/>
    <n v="26"/>
    <n v="411"/>
    <n v="1"/>
    <n v="19"/>
    <n v="5"/>
    <n v="412"/>
    <n v="0"/>
  </r>
  <r>
    <s v="Feb 08 2025 1:11 pm"/>
    <d v="2025-02-08T00:00:00"/>
    <x v="0"/>
    <x v="0"/>
    <x v="3"/>
    <d v="1899-12-30T13:11:00"/>
    <x v="8"/>
    <n v="540"/>
    <n v="1295"/>
    <n v="21"/>
    <n v="233"/>
    <n v="1"/>
    <n v="3"/>
    <n v="1"/>
    <n v="232"/>
    <n v="0"/>
  </r>
  <r>
    <s v="Feb 07 2025 3:37 pm"/>
    <d v="2025-02-07T00:00:00"/>
    <x v="0"/>
    <x v="0"/>
    <x v="4"/>
    <d v="1899-12-30T15:37:00"/>
    <x v="1"/>
    <n v="539"/>
    <n v="1295"/>
    <n v="7"/>
    <n v="45"/>
    <n v="1"/>
    <n v="0"/>
    <n v="2"/>
    <n v="46"/>
    <n v="0"/>
  </r>
  <r>
    <s v="Feb 06 2025 3:10 pm"/>
    <d v="2025-02-06T00:00:00"/>
    <x v="0"/>
    <x v="0"/>
    <x v="5"/>
    <d v="1899-12-30T15:10:00"/>
    <x v="1"/>
    <n v="538"/>
    <n v="1295"/>
    <n v="169"/>
    <n v="1466"/>
    <n v="4"/>
    <n v="36"/>
    <n v="28"/>
    <n v="1486"/>
    <n v="-1"/>
  </r>
  <r>
    <s v="Feb 05 2025 3:48 pm"/>
    <d v="2025-02-05T00:00:00"/>
    <x v="0"/>
    <x v="0"/>
    <x v="0"/>
    <d v="1899-12-30T15:48:00"/>
    <x v="1"/>
    <n v="537"/>
    <n v="1296"/>
    <n v="10"/>
    <n v="94"/>
    <n v="1"/>
    <n v="1"/>
    <n v="3"/>
    <n v="90"/>
    <n v="2"/>
  </r>
  <r>
    <s v="Feb 04 2025 3:31 pm"/>
    <d v="2025-02-04T00:00:00"/>
    <x v="0"/>
    <x v="0"/>
    <x v="1"/>
    <d v="1899-12-30T15:31:00"/>
    <x v="1"/>
    <n v="536"/>
    <n v="1294"/>
    <n v="5"/>
    <n v="202"/>
    <n v="1"/>
    <n v="0"/>
    <n v="1"/>
    <n v="204"/>
    <n v="0"/>
  </r>
  <r>
    <s v="Feb 03 2025 2:28 pm"/>
    <d v="2025-02-03T00:00:00"/>
    <x v="0"/>
    <x v="0"/>
    <x v="2"/>
    <d v="1899-12-30T14:28:00"/>
    <x v="7"/>
    <n v="535"/>
    <n v="1294"/>
    <n v="12"/>
    <n v="181"/>
    <n v="3"/>
    <n v="3"/>
    <n v="3"/>
    <n v="180"/>
    <n v="-1"/>
  </r>
  <r>
    <s v="Feb 02 2025 3:34 pm"/>
    <d v="2025-02-02T00:00:00"/>
    <x v="0"/>
    <x v="0"/>
    <x v="6"/>
    <d v="1899-12-30T15:34:00"/>
    <x v="1"/>
    <n v="534"/>
    <n v="1295"/>
    <n v="87"/>
    <n v="1309"/>
    <n v="2"/>
    <n v="12"/>
    <n v="7"/>
    <n v="1324"/>
    <n v="1"/>
  </r>
  <r>
    <s v="Feb 01 2025 1:22 pm"/>
    <d v="2025-02-01T00:00:00"/>
    <x v="0"/>
    <x v="0"/>
    <x v="3"/>
    <d v="1899-12-30T13:22:00"/>
    <x v="8"/>
    <n v="533"/>
    <n v="1294"/>
    <n v="13"/>
    <n v="140"/>
    <n v="2"/>
    <n v="3"/>
    <n v="8"/>
    <n v="139"/>
    <n v="-1"/>
  </r>
  <r>
    <s v="Jan 31 2025 3:06 pm"/>
    <d v="2025-01-31T00:00:00"/>
    <x v="0"/>
    <x v="1"/>
    <x v="4"/>
    <d v="1899-12-30T15:06:00"/>
    <x v="1"/>
    <n v="532"/>
    <n v="1295"/>
    <n v="6"/>
    <n v="169"/>
    <n v="1"/>
    <n v="3"/>
    <n v="0"/>
    <n v="167"/>
    <n v="-1"/>
  </r>
  <r>
    <s v="Jan 30 2025 2:50 pm"/>
    <d v="2025-01-30T00:00:00"/>
    <x v="0"/>
    <x v="1"/>
    <x v="5"/>
    <d v="1899-12-30T14:50:00"/>
    <x v="7"/>
    <n v="531"/>
    <n v="1296"/>
    <n v="46"/>
    <n v="635"/>
    <n v="2"/>
    <n v="13"/>
    <n v="6"/>
    <n v="662"/>
    <n v="4"/>
  </r>
  <r>
    <s v="Jan 29 2025 3:11 pm"/>
    <d v="2025-01-29T00:00:00"/>
    <x v="0"/>
    <x v="1"/>
    <x v="0"/>
    <d v="1899-12-30T15:11:00"/>
    <x v="1"/>
    <n v="530"/>
    <n v="1292"/>
    <n v="121"/>
    <n v="1189"/>
    <n v="1"/>
    <n v="26"/>
    <n v="12"/>
    <n v="1211"/>
    <n v="0"/>
  </r>
  <r>
    <s v="Jan 28 2025 3:20 pm"/>
    <d v="2025-01-28T00:00:00"/>
    <x v="0"/>
    <x v="1"/>
    <x v="1"/>
    <d v="1899-12-30T15:20:00"/>
    <x v="1"/>
    <n v="529"/>
    <n v="1292"/>
    <n v="3"/>
    <n v="40"/>
    <n v="2"/>
    <n v="0"/>
    <n v="0"/>
    <n v="39"/>
    <n v="0"/>
  </r>
  <r>
    <s v="Jan 27 2025 2:27 pm"/>
    <d v="2025-01-27T00:00:00"/>
    <x v="0"/>
    <x v="1"/>
    <x v="2"/>
    <d v="1899-12-30T14:27:00"/>
    <x v="7"/>
    <n v="528"/>
    <n v="1292"/>
    <n v="8"/>
    <n v="147"/>
    <n v="2"/>
    <n v="0"/>
    <n v="1"/>
    <n v="147"/>
    <n v="2"/>
  </r>
  <r>
    <s v="Jan 26 2025 3:04 pm"/>
    <d v="2025-01-26T00:00:00"/>
    <x v="0"/>
    <x v="1"/>
    <x v="6"/>
    <d v="1899-12-30T15:04:00"/>
    <x v="1"/>
    <n v="527"/>
    <n v="1290"/>
    <n v="9"/>
    <n v="255"/>
    <n v="1"/>
    <n v="0"/>
    <n v="4"/>
    <n v="255"/>
    <n v="2"/>
  </r>
  <r>
    <s v="Jan 25 2025 1:47 pm"/>
    <d v="2025-01-25T00:00:00"/>
    <x v="0"/>
    <x v="1"/>
    <x v="3"/>
    <d v="1899-12-30T13:47:00"/>
    <x v="8"/>
    <n v="526"/>
    <n v="1288"/>
    <n v="24"/>
    <n v="280"/>
    <n v="1"/>
    <n v="1"/>
    <n v="2"/>
    <n v="281"/>
    <n v="1"/>
  </r>
  <r>
    <s v="Jan 24 2025 3:44 pm"/>
    <d v="2025-01-24T00:00:00"/>
    <x v="0"/>
    <x v="1"/>
    <x v="4"/>
    <d v="1899-12-30T15:44:00"/>
    <x v="1"/>
    <n v="525"/>
    <n v="1287"/>
    <n v="129"/>
    <n v="1739"/>
    <n v="7"/>
    <n v="89"/>
    <n v="14"/>
    <n v="1854"/>
    <n v="-1"/>
  </r>
  <r>
    <s v="Jan 23 2025 2:43 pm"/>
    <d v="2025-01-23T00:00:00"/>
    <x v="0"/>
    <x v="1"/>
    <x v="5"/>
    <d v="1899-12-30T14:43:00"/>
    <x v="7"/>
    <n v="524"/>
    <n v="1288"/>
    <n v="10"/>
    <n v="85"/>
    <n v="1"/>
    <n v="1"/>
    <n v="1"/>
    <n v="85"/>
    <n v="1"/>
  </r>
  <r>
    <s v="Jan 22 2025 2:38 pm"/>
    <d v="2025-01-22T00:00:00"/>
    <x v="0"/>
    <x v="1"/>
    <x v="0"/>
    <d v="1899-12-30T14:38:00"/>
    <x v="7"/>
    <n v="523"/>
    <n v="1287"/>
    <n v="20"/>
    <n v="273"/>
    <n v="1"/>
    <n v="2"/>
    <n v="2"/>
    <n v="277"/>
    <n v="1"/>
  </r>
  <r>
    <s v="Jan 21 2025 1:48 pm"/>
    <d v="2025-01-21T00:00:00"/>
    <x v="0"/>
    <x v="1"/>
    <x v="1"/>
    <d v="1899-12-30T13:48:00"/>
    <x v="8"/>
    <n v="522"/>
    <n v="1286"/>
    <n v="1894"/>
    <n v="28169"/>
    <n v="8"/>
    <n v="2556"/>
    <n v="244"/>
    <n v="28341"/>
    <n v="1"/>
  </r>
  <r>
    <s v="Jan 20 2025 2:45 pm"/>
    <d v="2025-01-20T00:00:00"/>
    <x v="0"/>
    <x v="1"/>
    <x v="2"/>
    <d v="1899-12-30T14:45:00"/>
    <x v="7"/>
    <n v="521"/>
    <n v="1285"/>
    <n v="8"/>
    <n v="149"/>
    <n v="1"/>
    <n v="0"/>
    <n v="2"/>
    <n v="151"/>
    <n v="2"/>
  </r>
  <r>
    <s v="Jan 19 2025 2:27 pm"/>
    <d v="2025-01-19T00:00:00"/>
    <x v="0"/>
    <x v="1"/>
    <x v="6"/>
    <d v="1899-12-30T14:27:00"/>
    <x v="7"/>
    <n v="520"/>
    <n v="1283"/>
    <n v="56"/>
    <n v="1148"/>
    <n v="3"/>
    <n v="43"/>
    <n v="7"/>
    <n v="1158"/>
    <n v="2"/>
  </r>
  <r>
    <s v="Jan 18 2025 1:53 pm"/>
    <d v="2025-01-18T00:00:00"/>
    <x v="0"/>
    <x v="1"/>
    <x v="3"/>
    <d v="1899-12-30T13:53:00"/>
    <x v="8"/>
    <n v="519"/>
    <n v="1281"/>
    <n v="5"/>
    <n v="186"/>
    <n v="1"/>
    <n v="3"/>
    <n v="0"/>
    <n v="186"/>
    <n v="5"/>
  </r>
  <r>
    <s v="Jan 17 2025 1:32 pm"/>
    <d v="2025-01-17T00:00:00"/>
    <x v="0"/>
    <x v="1"/>
    <x v="4"/>
    <d v="1899-12-30T13:32:00"/>
    <x v="8"/>
    <n v="518"/>
    <n v="1276"/>
    <n v="14"/>
    <n v="435"/>
    <n v="1"/>
    <n v="2"/>
    <n v="7"/>
    <n v="433"/>
    <n v="2"/>
  </r>
  <r>
    <s v="Jan 16 2025 2:41 pm"/>
    <d v="2025-01-16T00:00:00"/>
    <x v="0"/>
    <x v="1"/>
    <x v="5"/>
    <d v="1899-12-30T14:41:00"/>
    <x v="7"/>
    <n v="517"/>
    <n v="1274"/>
    <n v="17"/>
    <n v="431"/>
    <n v="1"/>
    <n v="4"/>
    <n v="8"/>
    <n v="447"/>
    <n v="0"/>
  </r>
  <r>
    <s v="Jan 15 2025 2:11 pm"/>
    <d v="2025-01-15T00:00:00"/>
    <x v="0"/>
    <x v="1"/>
    <x v="0"/>
    <d v="1899-12-30T14:11:00"/>
    <x v="7"/>
    <n v="516"/>
    <n v="1274"/>
    <n v="7"/>
    <n v="163"/>
    <n v="1"/>
    <n v="0"/>
    <n v="1"/>
    <n v="162"/>
    <n v="0"/>
  </r>
  <r>
    <s v="Jan 14 2025 2:18 pm"/>
    <d v="2025-01-14T00:00:00"/>
    <x v="0"/>
    <x v="1"/>
    <x v="1"/>
    <d v="1899-12-30T14:18:00"/>
    <x v="7"/>
    <n v="515"/>
    <n v="1274"/>
    <n v="3"/>
    <n v="133"/>
    <n v="1"/>
    <n v="0"/>
    <n v="0"/>
    <n v="135"/>
    <n v="-1"/>
  </r>
  <r>
    <s v="Jan 13 2025 2:48 pm"/>
    <d v="2025-01-13T00:00:00"/>
    <x v="0"/>
    <x v="1"/>
    <x v="2"/>
    <d v="1899-12-30T14:48:00"/>
    <x v="7"/>
    <n v="514"/>
    <n v="1275"/>
    <n v="86"/>
    <n v="1284"/>
    <n v="6"/>
    <n v="13"/>
    <n v="13"/>
    <n v="1292"/>
    <n v="-2"/>
  </r>
  <r>
    <s v="Jan 12 2025 2:12 pm"/>
    <d v="2025-01-12T00:00:00"/>
    <x v="0"/>
    <x v="1"/>
    <x v="6"/>
    <d v="1899-12-30T14:12:00"/>
    <x v="7"/>
    <n v="513"/>
    <n v="1277"/>
    <n v="12"/>
    <n v="160"/>
    <n v="1"/>
    <n v="2"/>
    <n v="1"/>
    <n v="169"/>
    <n v="1"/>
  </r>
  <r>
    <s v="Jan 11 2025 10:53 am"/>
    <d v="2025-01-11T00:00:00"/>
    <x v="0"/>
    <x v="1"/>
    <x v="3"/>
    <d v="1899-12-30T10:53:00"/>
    <x v="9"/>
    <n v="512"/>
    <n v="1276"/>
    <n v="3"/>
    <n v="165"/>
    <n v="1"/>
    <n v="1"/>
    <n v="3"/>
    <n v="166"/>
    <n v="-3"/>
  </r>
  <r>
    <s v="Jan 10 2025 2:54 pm"/>
    <d v="2025-01-10T00:00:00"/>
    <x v="0"/>
    <x v="1"/>
    <x v="4"/>
    <d v="1899-12-30T14:54:00"/>
    <x v="7"/>
    <n v="511"/>
    <n v="1279"/>
    <n v="41"/>
    <n v="1314"/>
    <n v="1"/>
    <n v="10"/>
    <n v="45"/>
    <n v="1315"/>
    <n v="0"/>
  </r>
  <r>
    <s v="Jan 09 2025 8:42 pm"/>
    <d v="2025-01-09T00:00:00"/>
    <x v="0"/>
    <x v="1"/>
    <x v="5"/>
    <d v="1899-12-30T20:42:00"/>
    <x v="10"/>
    <n v="510"/>
    <n v="1279"/>
    <n v="6"/>
    <n v="181"/>
    <n v="1"/>
    <n v="1"/>
    <n v="2"/>
    <n v="182"/>
    <n v="10"/>
  </r>
  <r>
    <s v="Jan 08 2025 2:31 pm"/>
    <d v="2025-01-08T00:00:00"/>
    <x v="0"/>
    <x v="1"/>
    <x v="0"/>
    <d v="1899-12-30T14:31:00"/>
    <x v="7"/>
    <n v="509"/>
    <n v="1269"/>
    <n v="4"/>
    <n v="165"/>
    <n v="1"/>
    <n v="0"/>
    <n v="0"/>
    <n v="169"/>
    <n v="9"/>
  </r>
  <r>
    <s v="Jan 07 2025 2:40 pm"/>
    <d v="2025-01-07T00:00:00"/>
    <x v="0"/>
    <x v="1"/>
    <x v="1"/>
    <d v="1899-12-30T14:40:00"/>
    <x v="7"/>
    <n v="508"/>
    <n v="1260"/>
    <n v="10"/>
    <n v="242"/>
    <n v="1"/>
    <n v="1"/>
    <n v="2"/>
    <n v="241"/>
    <n v="7"/>
  </r>
  <r>
    <s v="Jan 06 2025 2:48 pm"/>
    <d v="2025-01-06T00:00:00"/>
    <x v="0"/>
    <x v="1"/>
    <x v="2"/>
    <d v="1899-12-30T14:48:00"/>
    <x v="7"/>
    <n v="507"/>
    <n v="1253"/>
    <n v="23"/>
    <n v="446"/>
    <n v="1"/>
    <n v="0"/>
    <n v="3"/>
    <n v="448"/>
    <n v="6"/>
  </r>
  <r>
    <s v="Jan 05 2025 1:25 pm"/>
    <d v="2025-01-05T00:00:00"/>
    <x v="0"/>
    <x v="1"/>
    <x v="6"/>
    <d v="1899-12-30T13:25:00"/>
    <x v="8"/>
    <n v="506"/>
    <n v="1247"/>
    <n v="32"/>
    <n v="599"/>
    <n v="1"/>
    <n v="16"/>
    <n v="21"/>
    <n v="597"/>
    <n v="17"/>
  </r>
  <r>
    <s v="Jan 04 2025 7:18 am"/>
    <d v="2025-01-04T00:00:00"/>
    <x v="0"/>
    <x v="1"/>
    <x v="3"/>
    <d v="1899-12-30T07:18:00"/>
    <x v="3"/>
    <n v="505"/>
    <n v="1230"/>
    <n v="16"/>
    <n v="503"/>
    <n v="1"/>
    <n v="8"/>
    <n v="2"/>
    <n v="495"/>
    <n v="10"/>
  </r>
  <r>
    <s v="Jan 03 2025 2:08 pm"/>
    <d v="2025-01-03T00:00:00"/>
    <x v="0"/>
    <x v="1"/>
    <x v="4"/>
    <d v="1899-12-30T14:08:00"/>
    <x v="7"/>
    <n v="504"/>
    <n v="1220"/>
    <n v="17"/>
    <n v="481"/>
    <n v="1"/>
    <n v="0"/>
    <n v="3"/>
    <n v="467"/>
    <n v="139"/>
  </r>
  <r>
    <s v="Jan 02 2025 2:39 pm"/>
    <d v="2025-01-02T00:00:00"/>
    <x v="0"/>
    <x v="1"/>
    <x v="5"/>
    <d v="1899-12-30T14:39:00"/>
    <x v="7"/>
    <n v="503"/>
    <n v="1081"/>
    <n v="40"/>
    <n v="1567"/>
    <n v="2"/>
    <n v="5"/>
    <n v="18"/>
    <n v="1612"/>
    <n v="123"/>
  </r>
  <r>
    <s v="Jan 01 2025 1:23 pm"/>
    <d v="2025-01-01T00:00:00"/>
    <x v="0"/>
    <x v="1"/>
    <x v="0"/>
    <d v="1899-12-30T13:23:00"/>
    <x v="8"/>
    <n v="502"/>
    <n v="958"/>
    <n v="22"/>
    <n v="1789"/>
    <n v="2"/>
    <n v="0"/>
    <n v="16"/>
    <n v="1786"/>
    <n v="105"/>
  </r>
  <r>
    <s v="Dec 31 2024 2:17 pm"/>
    <d v="2024-12-31T00:00:00"/>
    <x v="1"/>
    <x v="2"/>
    <x v="1"/>
    <d v="1899-12-30T14:17:00"/>
    <x v="7"/>
    <n v="501"/>
    <n v="853"/>
    <n v="58"/>
    <n v="2723"/>
    <n v="1"/>
    <n v="18"/>
    <n v="7"/>
    <n v="2739"/>
    <n v="29"/>
  </r>
  <r>
    <s v="Dec 30 2024 1:49 pm"/>
    <d v="2024-12-30T00:00:00"/>
    <x v="1"/>
    <x v="2"/>
    <x v="2"/>
    <d v="1899-12-30T13:49:00"/>
    <x v="8"/>
    <n v="500"/>
    <n v="824"/>
    <n v="24317"/>
    <n v="561399"/>
    <n v="262"/>
    <n v="15842"/>
    <n v="10816"/>
    <n v="570352"/>
    <n v="0"/>
  </r>
  <r>
    <s v="Dec 29 2024 2:20 pm"/>
    <d v="2024-12-29T00:00:00"/>
    <x v="1"/>
    <x v="2"/>
    <x v="6"/>
    <d v="1899-12-30T14:20:00"/>
    <x v="7"/>
    <n v="499"/>
    <n v="824"/>
    <n v="7"/>
    <n v="1505"/>
    <n v="1"/>
    <n v="3"/>
    <n v="2"/>
    <n v="1501"/>
    <n v="4"/>
  </r>
  <r>
    <s v="Dec 28 2024 1:23 pm"/>
    <d v="2024-12-28T00:00:00"/>
    <x v="1"/>
    <x v="2"/>
    <x v="3"/>
    <d v="1899-12-30T13:23:00"/>
    <x v="8"/>
    <n v="498"/>
    <n v="820"/>
    <n v="12"/>
    <n v="1512"/>
    <n v="1"/>
    <n v="2"/>
    <n v="13"/>
    <n v="1535"/>
    <n v="6"/>
  </r>
  <r>
    <s v="Dec 27 2024 1:16 pm"/>
    <d v="2024-12-27T00:00:00"/>
    <x v="1"/>
    <x v="2"/>
    <x v="4"/>
    <d v="1899-12-30T13:16:00"/>
    <x v="8"/>
    <n v="497"/>
    <n v="814"/>
    <n v="91"/>
    <n v="2573"/>
    <n v="2"/>
    <n v="22"/>
    <n v="24"/>
    <n v="2658"/>
    <n v="10"/>
  </r>
  <r>
    <s v="Dec 26 2024 1:00 pm"/>
    <d v="2024-12-26T00:00:00"/>
    <x v="1"/>
    <x v="2"/>
    <x v="5"/>
    <d v="1899-12-30T13:00:00"/>
    <x v="8"/>
    <n v="496"/>
    <n v="804"/>
    <n v="125"/>
    <n v="2496"/>
    <n v="1"/>
    <n v="94"/>
    <n v="12"/>
    <n v="2515"/>
    <n v="11"/>
  </r>
  <r>
    <s v="Dec 25 2024 1:31 pm"/>
    <d v="2024-12-25T00:00:00"/>
    <x v="1"/>
    <x v="2"/>
    <x v="0"/>
    <d v="1899-12-30T13:31:00"/>
    <x v="8"/>
    <n v="495"/>
    <n v="793"/>
    <n v="12"/>
    <n v="1044"/>
    <n v="1"/>
    <n v="2"/>
    <n v="3"/>
    <n v="1048"/>
    <n v="0"/>
  </r>
  <r>
    <s v="Dec 24 2024 1:01 pm"/>
    <d v="2024-12-24T00:00:00"/>
    <x v="1"/>
    <x v="2"/>
    <x v="1"/>
    <d v="1899-12-30T13:01:00"/>
    <x v="8"/>
    <n v="494"/>
    <n v="793"/>
    <n v="7"/>
    <n v="982"/>
    <n v="1"/>
    <n v="1"/>
    <n v="1"/>
    <n v="988"/>
    <n v="1"/>
  </r>
  <r>
    <s v="Dec 23 2024 1:11 pm"/>
    <d v="2024-12-23T00:00:00"/>
    <x v="1"/>
    <x v="2"/>
    <x v="2"/>
    <d v="1899-12-30T13:11:00"/>
    <x v="8"/>
    <n v="493"/>
    <n v="792"/>
    <n v="5"/>
    <n v="820"/>
    <n v="2"/>
    <n v="4"/>
    <n v="9"/>
    <n v="812"/>
    <n v="-6"/>
  </r>
  <r>
    <s v="Dec 22 2024 12:53 pm"/>
    <d v="2024-12-22T00:00:00"/>
    <x v="1"/>
    <x v="2"/>
    <x v="6"/>
    <d v="1899-12-30T12:53:00"/>
    <x v="11"/>
    <n v="492"/>
    <n v="798"/>
    <n v="115"/>
    <n v="2190"/>
    <n v="6"/>
    <n v="83"/>
    <n v="23"/>
    <n v="2257"/>
    <n v="1"/>
  </r>
  <r>
    <s v="Dec 21 2024 12:57 pm"/>
    <d v="2024-12-21T00:00:00"/>
    <x v="1"/>
    <x v="2"/>
    <x v="3"/>
    <d v="1899-12-30T12:57:00"/>
    <x v="11"/>
    <n v="491"/>
    <n v="797"/>
    <n v="40"/>
    <n v="1859"/>
    <n v="3"/>
    <n v="26"/>
    <n v="41"/>
    <n v="1847"/>
    <n v="4"/>
  </r>
  <r>
    <s v="Dec 20 2024 6:46 am"/>
    <d v="2024-12-20T00:00:00"/>
    <x v="1"/>
    <x v="2"/>
    <x v="4"/>
    <d v="1899-12-30T06:46:00"/>
    <x v="12"/>
    <n v="490"/>
    <n v="793"/>
    <n v="9"/>
    <n v="812"/>
    <n v="1"/>
    <n v="0"/>
    <n v="0"/>
    <n v="804"/>
    <n v="3"/>
  </r>
  <r>
    <s v="Dec 19 2024 1:05 pm"/>
    <d v="2024-12-19T00:00:00"/>
    <x v="1"/>
    <x v="2"/>
    <x v="5"/>
    <d v="1899-12-30T13:05:00"/>
    <x v="8"/>
    <n v="489"/>
    <n v="790"/>
    <n v="26"/>
    <n v="1015"/>
    <n v="1"/>
    <n v="12"/>
    <n v="1"/>
    <n v="1009"/>
    <n v="0"/>
  </r>
  <r>
    <s v="Dec 18 2024 12:01 pm"/>
    <d v="2024-12-18T00:00:00"/>
    <x v="1"/>
    <x v="2"/>
    <x v="0"/>
    <d v="1899-12-30T12:01:00"/>
    <x v="11"/>
    <n v="488"/>
    <n v="790"/>
    <n v="218"/>
    <n v="1910"/>
    <n v="10"/>
    <n v="43"/>
    <n v="23"/>
    <n v="1940"/>
    <n v="-1"/>
  </r>
  <r>
    <s v="Dec 17 2024 12:31 pm"/>
    <d v="2024-12-17T00:00:00"/>
    <x v="1"/>
    <x v="2"/>
    <x v="1"/>
    <d v="1899-12-30T12:31:00"/>
    <x v="11"/>
    <n v="487"/>
    <n v="791"/>
    <n v="12"/>
    <n v="740"/>
    <n v="1"/>
    <n v="2"/>
    <n v="3"/>
    <n v="720"/>
    <n v="1"/>
  </r>
  <r>
    <s v="Dec 16 2024 12:46 pm"/>
    <d v="2024-12-16T00:00:00"/>
    <x v="1"/>
    <x v="2"/>
    <x v="2"/>
    <d v="1899-12-30T12:46:00"/>
    <x v="11"/>
    <n v="486"/>
    <n v="790"/>
    <n v="42"/>
    <n v="1555"/>
    <n v="6"/>
    <n v="32"/>
    <n v="26"/>
    <n v="1569"/>
    <n v="2"/>
  </r>
  <r>
    <s v="Dec 15 2024 12:31 pm"/>
    <d v="2024-12-15T00:00:00"/>
    <x v="1"/>
    <x v="2"/>
    <x v="6"/>
    <d v="1899-12-30T12:31:00"/>
    <x v="11"/>
    <n v="485"/>
    <n v="788"/>
    <n v="156"/>
    <n v="1770"/>
    <n v="2"/>
    <n v="52"/>
    <n v="6"/>
    <n v="1772"/>
    <n v="-2"/>
  </r>
  <r>
    <s v="Dec 14 2024 7:14 am"/>
    <d v="2024-12-14T00:00:00"/>
    <x v="1"/>
    <x v="2"/>
    <x v="3"/>
    <d v="1899-12-30T07:14:00"/>
    <x v="3"/>
    <n v="484"/>
    <n v="790"/>
    <n v="2"/>
    <n v="531"/>
    <n v="2"/>
    <n v="0"/>
    <n v="0"/>
    <n v="528"/>
    <n v="1"/>
  </r>
  <r>
    <s v="Dec 13 2024 7:13 am"/>
    <d v="2024-12-13T00:00:00"/>
    <x v="1"/>
    <x v="2"/>
    <x v="4"/>
    <d v="1899-12-30T07:13:00"/>
    <x v="3"/>
    <n v="483"/>
    <n v="789"/>
    <n v="6"/>
    <n v="390"/>
    <n v="1"/>
    <n v="0"/>
    <n v="2"/>
    <n v="398"/>
    <n v="1"/>
  </r>
  <r>
    <s v="Dec 12 2024 1:02 pm"/>
    <d v="2024-12-12T00:00:00"/>
    <x v="1"/>
    <x v="2"/>
    <x v="5"/>
    <d v="1899-12-30T13:02:00"/>
    <x v="8"/>
    <n v="482"/>
    <n v="788"/>
    <n v="133"/>
    <n v="1714"/>
    <n v="2"/>
    <n v="28"/>
    <n v="12"/>
    <n v="1710"/>
    <n v="1"/>
  </r>
  <r>
    <s v="Dec 11 2024 1:09 pm"/>
    <d v="2024-12-11T00:00:00"/>
    <x v="1"/>
    <x v="2"/>
    <x v="0"/>
    <d v="1899-12-30T13:09:00"/>
    <x v="8"/>
    <n v="481"/>
    <n v="787"/>
    <n v="104"/>
    <n v="1556"/>
    <n v="2"/>
    <n v="25"/>
    <n v="4"/>
    <n v="1556"/>
    <n v="0"/>
  </r>
  <r>
    <s v="Dec 10 2024 1:35 pm"/>
    <d v="2024-12-10T00:00:00"/>
    <x v="1"/>
    <x v="2"/>
    <x v="1"/>
    <d v="1899-12-30T13:35:00"/>
    <x v="8"/>
    <n v="480"/>
    <n v="787"/>
    <n v="8"/>
    <n v="443"/>
    <n v="1"/>
    <n v="0"/>
    <n v="1"/>
    <n v="442"/>
    <n v="0"/>
  </r>
  <r>
    <s v="Dec 09 2024 1:04 pm"/>
    <d v="2024-12-09T00:00:00"/>
    <x v="1"/>
    <x v="2"/>
    <x v="2"/>
    <d v="1899-12-30T13:04:00"/>
    <x v="8"/>
    <n v="479"/>
    <n v="787"/>
    <n v="71"/>
    <n v="1039"/>
    <n v="1"/>
    <n v="21"/>
    <n v="9"/>
    <n v="1057"/>
    <n v="-1"/>
  </r>
  <r>
    <s v="Dec 08 2024 12:33 pm"/>
    <d v="2024-12-08T00:00:00"/>
    <x v="1"/>
    <x v="2"/>
    <x v="6"/>
    <d v="1899-12-30T12:33:00"/>
    <x v="11"/>
    <n v="478"/>
    <n v="788"/>
    <n v="111"/>
    <n v="1392"/>
    <n v="1"/>
    <n v="5"/>
    <n v="7"/>
    <n v="1423"/>
    <n v="1"/>
  </r>
  <r>
    <s v="Dec 07 2024 6:57 am"/>
    <d v="2024-12-07T00:00:00"/>
    <x v="1"/>
    <x v="2"/>
    <x v="3"/>
    <d v="1899-12-30T06:57:00"/>
    <x v="12"/>
    <n v="477"/>
    <n v="787"/>
    <n v="120"/>
    <n v="1597"/>
    <n v="1"/>
    <n v="53"/>
    <n v="15"/>
    <n v="1669"/>
    <n v="1"/>
  </r>
  <r>
    <s v="Dec 06 2024 7:27 am"/>
    <d v="2024-12-06T00:00:00"/>
    <x v="1"/>
    <x v="2"/>
    <x v="4"/>
    <d v="1899-12-30T07:27:00"/>
    <x v="3"/>
    <n v="476"/>
    <n v="786"/>
    <n v="93"/>
    <n v="1446"/>
    <n v="4"/>
    <n v="8"/>
    <n v="6"/>
    <n v="1463"/>
    <n v="0"/>
  </r>
  <r>
    <s v="Dec 05 2024 12:47 pm"/>
    <d v="2024-12-05T00:00:00"/>
    <x v="1"/>
    <x v="2"/>
    <x v="5"/>
    <d v="1899-12-30T12:47:00"/>
    <x v="11"/>
    <n v="475"/>
    <n v="786"/>
    <n v="44"/>
    <n v="704"/>
    <n v="2"/>
    <n v="18"/>
    <n v="4"/>
    <n v="721"/>
    <n v="1"/>
  </r>
  <r>
    <s v="Dec 04 2024 8:36 pm"/>
    <d v="2024-12-04T00:00:00"/>
    <x v="1"/>
    <x v="2"/>
    <x v="0"/>
    <d v="1899-12-30T20:36:00"/>
    <x v="10"/>
    <n v="474"/>
    <n v="785"/>
    <n v="758"/>
    <n v="7307"/>
    <n v="8"/>
    <n v="518"/>
    <n v="44"/>
    <n v="7339"/>
    <n v="3"/>
  </r>
  <r>
    <s v="Dec 03 2024 11:23 am"/>
    <d v="2024-12-03T00:00:00"/>
    <x v="1"/>
    <x v="2"/>
    <x v="1"/>
    <d v="1899-12-30T11:23:00"/>
    <x v="13"/>
    <n v="473"/>
    <n v="782"/>
    <n v="208"/>
    <n v="1415"/>
    <n v="1"/>
    <n v="57"/>
    <n v="8"/>
    <n v="1429"/>
    <n v="2"/>
  </r>
  <r>
    <s v="Dec 02 2024 11:21 am"/>
    <d v="2024-12-02T00:00:00"/>
    <x v="1"/>
    <x v="2"/>
    <x v="2"/>
    <d v="1899-12-30T11:21:00"/>
    <x v="13"/>
    <n v="472"/>
    <n v="780"/>
    <n v="10"/>
    <n v="466"/>
    <n v="1"/>
    <n v="0"/>
    <n v="0"/>
    <n v="461"/>
    <n v="0"/>
  </r>
  <r>
    <s v="Dec 01 2024 1:09 pm"/>
    <d v="2024-12-01T00:00:00"/>
    <x v="1"/>
    <x v="2"/>
    <x v="6"/>
    <d v="1899-12-30T13:09:00"/>
    <x v="8"/>
    <n v="471"/>
    <n v="780"/>
    <n v="77"/>
    <n v="1079"/>
    <n v="2"/>
    <n v="31"/>
    <n v="8"/>
    <n v="1098"/>
    <n v="0"/>
  </r>
  <r>
    <s v="Nov 30 2024 12:44 pm"/>
    <d v="2024-11-30T00:00:00"/>
    <x v="1"/>
    <x v="3"/>
    <x v="3"/>
    <d v="1899-12-30T12:44:00"/>
    <x v="11"/>
    <n v="470"/>
    <n v="780"/>
    <n v="9"/>
    <n v="254"/>
    <n v="1"/>
    <n v="0"/>
    <n v="1"/>
    <n v="255"/>
    <n v="0"/>
  </r>
  <r>
    <s v="Nov 29 2024 7:26 am"/>
    <d v="2024-11-29T00:00:00"/>
    <x v="1"/>
    <x v="3"/>
    <x v="4"/>
    <d v="1899-12-30T07:26:00"/>
    <x v="3"/>
    <n v="469"/>
    <n v="780"/>
    <n v="128"/>
    <n v="1311"/>
    <n v="5"/>
    <n v="8"/>
    <n v="8"/>
    <n v="1272"/>
    <n v="0"/>
  </r>
  <r>
    <s v="Nov 28 2024 1:20 pm"/>
    <d v="2024-11-28T00:00:00"/>
    <x v="1"/>
    <x v="3"/>
    <x v="5"/>
    <d v="1899-12-30T13:20:00"/>
    <x v="8"/>
    <n v="468"/>
    <n v="780"/>
    <n v="11"/>
    <n v="288"/>
    <n v="1"/>
    <n v="11"/>
    <n v="3"/>
    <n v="283"/>
    <n v="1"/>
  </r>
  <r>
    <s v="Nov 27 2024 7:07 am"/>
    <d v="2024-11-27T00:00:00"/>
    <x v="1"/>
    <x v="3"/>
    <x v="0"/>
    <d v="1899-12-30T07:07:00"/>
    <x v="3"/>
    <n v="467"/>
    <n v="779"/>
    <n v="6"/>
    <n v="201"/>
    <n v="1"/>
    <n v="0"/>
    <n v="0"/>
    <n v="201"/>
    <n v="1"/>
  </r>
  <r>
    <s v="Nov 26 2024 1:22 pm"/>
    <d v="2024-11-26T00:00:00"/>
    <x v="1"/>
    <x v="3"/>
    <x v="1"/>
    <d v="1899-12-30T13:22:00"/>
    <x v="8"/>
    <n v="466"/>
    <n v="778"/>
    <n v="181"/>
    <n v="1900"/>
    <n v="10"/>
    <n v="102"/>
    <n v="13"/>
    <n v="1839"/>
    <n v="2"/>
  </r>
  <r>
    <s v="Nov 25 2024 1:10 pm"/>
    <d v="2024-11-25T00:00:00"/>
    <x v="1"/>
    <x v="3"/>
    <x v="2"/>
    <d v="1899-12-30T13:10:00"/>
    <x v="8"/>
    <n v="465"/>
    <n v="776"/>
    <n v="5"/>
    <n v="210"/>
    <n v="1"/>
    <n v="0"/>
    <n v="0"/>
    <n v="211"/>
    <n v="1"/>
  </r>
  <r>
    <s v="Nov 24 2024 12:16 pm"/>
    <d v="2024-11-24T00:00:00"/>
    <x v="1"/>
    <x v="3"/>
    <x v="6"/>
    <d v="1899-12-30T12:16:00"/>
    <x v="11"/>
    <n v="464"/>
    <n v="775"/>
    <n v="40"/>
    <n v="1223"/>
    <n v="1"/>
    <n v="3"/>
    <n v="1"/>
    <n v="1222"/>
    <n v="0"/>
  </r>
  <r>
    <s v="Nov 23 2024 2:01 pm"/>
    <d v="2024-11-23T00:00:00"/>
    <x v="1"/>
    <x v="3"/>
    <x v="3"/>
    <d v="1899-12-30T14:01:00"/>
    <x v="7"/>
    <n v="463"/>
    <n v="775"/>
    <n v="7"/>
    <n v="260"/>
    <n v="1"/>
    <n v="0"/>
    <n v="0"/>
    <n v="256"/>
    <n v="0"/>
  </r>
  <r>
    <s v="Nov 22 2024 1:57 pm"/>
    <d v="2024-11-22T00:00:00"/>
    <x v="1"/>
    <x v="3"/>
    <x v="4"/>
    <d v="1899-12-30T13:57:00"/>
    <x v="8"/>
    <n v="462"/>
    <n v="775"/>
    <n v="73"/>
    <n v="1187"/>
    <n v="1"/>
    <n v="19"/>
    <n v="5"/>
    <n v="1218"/>
    <n v="1"/>
  </r>
  <r>
    <s v="Nov 21 2024 11:21 am"/>
    <d v="2024-11-21T00:00:00"/>
    <x v="1"/>
    <x v="3"/>
    <x v="5"/>
    <d v="1899-12-30T11:21:00"/>
    <x v="13"/>
    <n v="461"/>
    <n v="774"/>
    <n v="140"/>
    <n v="1503"/>
    <n v="2"/>
    <n v="32"/>
    <n v="9"/>
    <n v="1501"/>
    <n v="1"/>
  </r>
  <r>
    <s v="Nov 20 2024 12:46 pm"/>
    <d v="2024-11-20T00:00:00"/>
    <x v="1"/>
    <x v="3"/>
    <x v="0"/>
    <d v="1899-12-30T12:46:00"/>
    <x v="11"/>
    <n v="460"/>
    <n v="773"/>
    <n v="15"/>
    <n v="326"/>
    <n v="1"/>
    <n v="0"/>
    <n v="0"/>
    <n v="320"/>
    <n v="1"/>
  </r>
  <r>
    <s v="Nov 19 2024 7:24 am"/>
    <d v="2024-11-19T00:00:00"/>
    <x v="1"/>
    <x v="3"/>
    <x v="1"/>
    <d v="1899-12-30T07:24:00"/>
    <x v="3"/>
    <n v="459"/>
    <n v="772"/>
    <n v="11"/>
    <n v="177"/>
    <n v="2"/>
    <n v="2"/>
    <n v="3"/>
    <n v="191"/>
    <n v="-2"/>
  </r>
  <r>
    <s v="Nov 18 2024 12:50 pm"/>
    <d v="2024-11-18T00:00:00"/>
    <x v="1"/>
    <x v="3"/>
    <x v="2"/>
    <d v="1899-12-30T12:50:00"/>
    <x v="11"/>
    <n v="458"/>
    <n v="774"/>
    <n v="36507"/>
    <n v="426039"/>
    <n v="249"/>
    <n v="13603"/>
    <n v="10993"/>
    <n v="445364"/>
    <n v="-2"/>
  </r>
  <r>
    <s v="Nov 17 2024 2:04 pm"/>
    <d v="2024-11-17T00:00:00"/>
    <x v="1"/>
    <x v="3"/>
    <x v="6"/>
    <d v="1899-12-30T14:04:00"/>
    <x v="7"/>
    <n v="457"/>
    <n v="776"/>
    <n v="41"/>
    <n v="599"/>
    <n v="1"/>
    <n v="19"/>
    <n v="5"/>
    <n v="611"/>
    <n v="-2"/>
  </r>
  <r>
    <s v="Nov 16 2024 11:27 am"/>
    <d v="2024-11-16T00:00:00"/>
    <x v="1"/>
    <x v="3"/>
    <x v="3"/>
    <d v="1899-12-30T11:27:00"/>
    <x v="13"/>
    <n v="456"/>
    <n v="778"/>
    <n v="13"/>
    <n v="234"/>
    <n v="1"/>
    <n v="0"/>
    <n v="1"/>
    <n v="241"/>
    <n v="-2"/>
  </r>
  <r>
    <s v="Nov 15 2024 2:15 pm"/>
    <d v="2024-11-15T00:00:00"/>
    <x v="1"/>
    <x v="3"/>
    <x v="4"/>
    <d v="1899-12-30T14:15:00"/>
    <x v="7"/>
    <n v="455"/>
    <n v="780"/>
    <n v="10"/>
    <n v="292"/>
    <n v="2"/>
    <n v="0"/>
    <n v="4"/>
    <n v="293"/>
    <n v="1"/>
  </r>
  <r>
    <s v="Nov 14 2024 12:38 pm"/>
    <d v="2024-11-14T00:00:00"/>
    <x v="1"/>
    <x v="3"/>
    <x v="5"/>
    <d v="1899-12-30T12:38:00"/>
    <x v="11"/>
    <n v="454"/>
    <n v="779"/>
    <n v="10"/>
    <n v="199"/>
    <n v="2"/>
    <n v="2"/>
    <n v="3"/>
    <n v="199"/>
    <n v="1"/>
  </r>
  <r>
    <s v="Nov 13 2024 12:55 pm"/>
    <d v="2024-11-13T00:00:00"/>
    <x v="1"/>
    <x v="3"/>
    <x v="0"/>
    <d v="1899-12-30T12:55:00"/>
    <x v="11"/>
    <n v="453"/>
    <n v="778"/>
    <n v="17"/>
    <n v="323"/>
    <n v="1"/>
    <n v="2"/>
    <n v="0"/>
    <n v="324"/>
    <n v="2"/>
  </r>
  <r>
    <s v="Nov 12 2024 7:00 am"/>
    <d v="2024-11-12T00:00:00"/>
    <x v="1"/>
    <x v="3"/>
    <x v="1"/>
    <d v="1899-12-30T07:00:00"/>
    <x v="3"/>
    <n v="452"/>
    <n v="776"/>
    <n v="47"/>
    <n v="504"/>
    <n v="1"/>
    <n v="11"/>
    <n v="10"/>
    <n v="506"/>
    <n v="1"/>
  </r>
  <r>
    <s v="Nov 11 2024 1:03 pm"/>
    <d v="2024-11-11T00:00:00"/>
    <x v="1"/>
    <x v="3"/>
    <x v="2"/>
    <d v="1899-12-30T13:03:00"/>
    <x v="8"/>
    <n v="451"/>
    <n v="775"/>
    <n v="13"/>
    <n v="286"/>
    <n v="1"/>
    <n v="4"/>
    <n v="0"/>
    <n v="292"/>
    <n v="4"/>
  </r>
  <r>
    <s v="Nov 10 2024 11:24 am"/>
    <d v="2024-11-10T00:00:00"/>
    <x v="1"/>
    <x v="3"/>
    <x v="6"/>
    <d v="1899-12-30T11:24:00"/>
    <x v="13"/>
    <n v="450"/>
    <n v="771"/>
    <n v="112"/>
    <n v="1369"/>
    <n v="2"/>
    <n v="26"/>
    <n v="10"/>
    <n v="1364"/>
    <n v="0"/>
  </r>
  <r>
    <s v="Nov 09 2024 12:58 pm"/>
    <d v="2024-11-09T00:00:00"/>
    <x v="1"/>
    <x v="3"/>
    <x v="3"/>
    <d v="1899-12-30T12:58:00"/>
    <x v="11"/>
    <n v="449"/>
    <n v="771"/>
    <n v="154"/>
    <n v="1370"/>
    <n v="3"/>
    <n v="37"/>
    <n v="5"/>
    <n v="1375"/>
    <n v="-1"/>
  </r>
  <r>
    <s v="Nov 08 2024 2:10 pm"/>
    <d v="2024-11-08T00:00:00"/>
    <x v="1"/>
    <x v="3"/>
    <x v="4"/>
    <d v="1899-12-30T14:10:00"/>
    <x v="7"/>
    <n v="448"/>
    <n v="772"/>
    <n v="4"/>
    <n v="216"/>
    <n v="1"/>
    <n v="0"/>
    <n v="1"/>
    <n v="214"/>
    <n v="0"/>
  </r>
  <r>
    <s v="Nov 07 2024 1:46 pm"/>
    <d v="2024-11-07T00:00:00"/>
    <x v="1"/>
    <x v="3"/>
    <x v="5"/>
    <d v="1899-12-30T13:46:00"/>
    <x v="8"/>
    <n v="447"/>
    <n v="772"/>
    <n v="5"/>
    <n v="139"/>
    <n v="1"/>
    <n v="1"/>
    <n v="0"/>
    <n v="140"/>
    <n v="0"/>
  </r>
  <r>
    <s v="Nov 06 2024 1:08 pm"/>
    <d v="2024-11-06T00:00:00"/>
    <x v="1"/>
    <x v="3"/>
    <x v="0"/>
    <d v="1899-12-30T13:08:00"/>
    <x v="8"/>
    <n v="446"/>
    <n v="772"/>
    <n v="28"/>
    <n v="357"/>
    <n v="1"/>
    <n v="0"/>
    <n v="2"/>
    <n v="362"/>
    <n v="1"/>
  </r>
  <r>
    <s v="Nov 05 2024 2:17 pm"/>
    <d v="2024-11-05T00:00:00"/>
    <x v="1"/>
    <x v="3"/>
    <x v="1"/>
    <d v="1899-12-30T14:17:00"/>
    <x v="7"/>
    <n v="445"/>
    <n v="771"/>
    <n v="23"/>
    <n v="282"/>
    <n v="1"/>
    <n v="1"/>
    <n v="3"/>
    <n v="286"/>
    <n v="1"/>
  </r>
  <r>
    <s v="Nov 04 2024 11:19 am"/>
    <d v="2024-11-04T00:00:00"/>
    <x v="1"/>
    <x v="3"/>
    <x v="2"/>
    <d v="1899-12-30T11:19:00"/>
    <x v="13"/>
    <n v="444"/>
    <n v="770"/>
    <n v="158"/>
    <n v="1401"/>
    <n v="2"/>
    <n v="68"/>
    <n v="13"/>
    <n v="1397"/>
    <n v="1"/>
  </r>
  <r>
    <s v="Nov 03 2024 1:44 pm"/>
    <d v="2024-11-03T00:00:00"/>
    <x v="1"/>
    <x v="3"/>
    <x v="6"/>
    <d v="1899-12-30T13:44:00"/>
    <x v="8"/>
    <n v="443"/>
    <n v="769"/>
    <n v="45"/>
    <n v="511"/>
    <n v="3"/>
    <n v="3"/>
    <n v="4"/>
    <n v="514"/>
    <n v="0"/>
  </r>
  <r>
    <s v="Nov 02 2024 6:50 am"/>
    <d v="2024-11-02T00:00:00"/>
    <x v="1"/>
    <x v="3"/>
    <x v="3"/>
    <d v="1899-12-30T06:50:00"/>
    <x v="12"/>
    <n v="442"/>
    <n v="769"/>
    <n v="28"/>
    <n v="396"/>
    <n v="1"/>
    <n v="5"/>
    <n v="6"/>
    <n v="393"/>
    <n v="2"/>
  </r>
  <r>
    <s v="Nov 01 2024 6:48 am"/>
    <d v="2024-11-01T00:00:00"/>
    <x v="1"/>
    <x v="3"/>
    <x v="4"/>
    <d v="1899-12-30T06:48:00"/>
    <x v="12"/>
    <n v="441"/>
    <n v="767"/>
    <n v="145"/>
    <n v="1406"/>
    <n v="7"/>
    <n v="60"/>
    <n v="8"/>
    <n v="1423"/>
    <n v="2"/>
  </r>
  <r>
    <s v="Oct 31 2024 10:55 am"/>
    <d v="2024-10-31T00:00:00"/>
    <x v="1"/>
    <x v="4"/>
    <x v="5"/>
    <d v="1899-12-30T10:55:00"/>
    <x v="9"/>
    <n v="440"/>
    <n v="765"/>
    <n v="33"/>
    <n v="527"/>
    <n v="1"/>
    <n v="1"/>
    <n v="1"/>
    <n v="525"/>
    <n v="2"/>
  </r>
  <r>
    <s v="Oct 30 2024 12:57 pm"/>
    <d v="2024-10-30T00:00:00"/>
    <x v="1"/>
    <x v="4"/>
    <x v="0"/>
    <d v="1899-12-30T12:57:00"/>
    <x v="11"/>
    <n v="439"/>
    <n v="763"/>
    <n v="19"/>
    <n v="225"/>
    <n v="1"/>
    <n v="0"/>
    <n v="0"/>
    <n v="230"/>
    <n v="2"/>
  </r>
  <r>
    <s v="Oct 29 2024 12:44 pm"/>
    <d v="2024-10-29T00:00:00"/>
    <x v="1"/>
    <x v="4"/>
    <x v="1"/>
    <d v="1899-12-30T12:44:00"/>
    <x v="11"/>
    <n v="438"/>
    <n v="761"/>
    <n v="13"/>
    <n v="321"/>
    <n v="1"/>
    <n v="10"/>
    <n v="4"/>
    <n v="325"/>
    <n v="0"/>
  </r>
  <r>
    <s v="Oct 28 2024 11:17 am"/>
    <d v="2024-10-28T00:00:00"/>
    <x v="1"/>
    <x v="4"/>
    <x v="2"/>
    <d v="1899-12-30T11:17:00"/>
    <x v="13"/>
    <n v="437"/>
    <n v="761"/>
    <n v="12"/>
    <n v="368"/>
    <n v="1"/>
    <n v="0"/>
    <n v="3"/>
    <n v="366"/>
    <n v="0"/>
  </r>
  <r>
    <s v="Oct 27 2024 12:52 pm"/>
    <d v="2024-10-27T00:00:00"/>
    <x v="1"/>
    <x v="4"/>
    <x v="6"/>
    <d v="1899-12-30T12:52:00"/>
    <x v="11"/>
    <n v="436"/>
    <n v="761"/>
    <n v="151"/>
    <n v="1668"/>
    <n v="2"/>
    <n v="52"/>
    <n v="13"/>
    <n v="1715"/>
    <n v="1"/>
  </r>
  <r>
    <s v="Oct 26 2024 1:20 pm"/>
    <d v="2024-10-26T00:00:00"/>
    <x v="1"/>
    <x v="4"/>
    <x v="3"/>
    <d v="1899-12-30T13:20:00"/>
    <x v="8"/>
    <n v="435"/>
    <n v="760"/>
    <n v="18"/>
    <n v="214"/>
    <n v="1"/>
    <n v="3"/>
    <n v="6"/>
    <n v="217"/>
    <n v="3"/>
  </r>
  <r>
    <s v="Oct 25 2024 1:14 pm"/>
    <d v="2024-10-25T00:00:00"/>
    <x v="1"/>
    <x v="4"/>
    <x v="4"/>
    <d v="1899-12-30T13:14:00"/>
    <x v="8"/>
    <n v="434"/>
    <n v="757"/>
    <n v="21"/>
    <n v="255"/>
    <n v="1"/>
    <n v="7"/>
    <n v="3"/>
    <n v="261"/>
    <n v="0"/>
  </r>
  <r>
    <s v="Oct 24 2024 12:42 pm"/>
    <d v="2024-10-24T00:00:00"/>
    <x v="1"/>
    <x v="4"/>
    <x v="5"/>
    <d v="1899-12-30T12:42:00"/>
    <x v="11"/>
    <n v="433"/>
    <n v="757"/>
    <n v="11"/>
    <n v="142"/>
    <n v="2"/>
    <n v="1"/>
    <n v="2"/>
    <n v="143"/>
    <n v="1"/>
  </r>
  <r>
    <s v="Oct 24 2024 4:31 am"/>
    <d v="2024-10-24T00:00:00"/>
    <x v="1"/>
    <x v="4"/>
    <x v="5"/>
    <d v="1899-12-30T04:31:00"/>
    <x v="14"/>
    <n v="432"/>
    <n v="756"/>
    <n v="35"/>
    <n v="524"/>
    <n v="1"/>
    <n v="3"/>
    <n v="5"/>
    <n v="551"/>
    <n v="1"/>
  </r>
  <r>
    <s v="Oct 22 2024 12:45 pm"/>
    <d v="2024-10-22T00:00:00"/>
    <x v="1"/>
    <x v="4"/>
    <x v="1"/>
    <d v="1899-12-30T12:45:00"/>
    <x v="11"/>
    <n v="431"/>
    <n v="755"/>
    <n v="38"/>
    <n v="794"/>
    <n v="1"/>
    <n v="26"/>
    <n v="15"/>
    <n v="791"/>
    <n v="1"/>
  </r>
  <r>
    <s v="Oct 21 2024 11:23 am"/>
    <d v="2024-10-21T00:00:00"/>
    <x v="1"/>
    <x v="4"/>
    <x v="2"/>
    <d v="1899-12-30T11:23:00"/>
    <x v="13"/>
    <n v="430"/>
    <n v="754"/>
    <n v="13"/>
    <n v="216"/>
    <n v="1"/>
    <n v="1"/>
    <n v="2"/>
    <n v="214"/>
    <n v="1"/>
  </r>
  <r>
    <s v="Oct 20 2024 1:57 pm"/>
    <d v="2024-10-20T00:00:00"/>
    <x v="1"/>
    <x v="4"/>
    <x v="6"/>
    <d v="1899-12-30T13:57:00"/>
    <x v="8"/>
    <n v="429"/>
    <n v="753"/>
    <n v="5"/>
    <n v="187"/>
    <n v="2"/>
    <n v="1"/>
    <n v="1"/>
    <n v="192"/>
    <n v="2"/>
  </r>
  <r>
    <s v="Oct 19 2024 7:02 am"/>
    <d v="2024-10-19T00:00:00"/>
    <x v="1"/>
    <x v="4"/>
    <x v="3"/>
    <d v="1899-12-30T07:02:00"/>
    <x v="3"/>
    <n v="428"/>
    <n v="751"/>
    <n v="58"/>
    <n v="1124"/>
    <n v="1"/>
    <n v="2"/>
    <n v="2"/>
    <n v="1138"/>
    <n v="0"/>
  </r>
  <r>
    <s v="Oct 18 2024 7:19 am"/>
    <d v="2024-10-18T00:00:00"/>
    <x v="1"/>
    <x v="4"/>
    <x v="4"/>
    <d v="1899-12-30T07:19:00"/>
    <x v="3"/>
    <n v="427"/>
    <n v="751"/>
    <n v="11"/>
    <n v="293"/>
    <n v="2"/>
    <n v="2"/>
    <n v="3"/>
    <n v="292"/>
    <n v="3"/>
  </r>
  <r>
    <s v="Oct 17 2024 3:02 pm"/>
    <d v="2024-10-17T00:00:00"/>
    <x v="1"/>
    <x v="4"/>
    <x v="5"/>
    <d v="1899-12-30T15:02:00"/>
    <x v="1"/>
    <n v="426"/>
    <n v="748"/>
    <n v="15"/>
    <n v="257"/>
    <n v="1"/>
    <n v="3"/>
    <n v="3"/>
    <n v="258"/>
    <n v="5"/>
  </r>
  <r>
    <s v="Oct 16 2024 7:27 am"/>
    <d v="2024-10-16T00:00:00"/>
    <x v="1"/>
    <x v="4"/>
    <x v="0"/>
    <d v="1899-12-30T07:27:00"/>
    <x v="3"/>
    <n v="425"/>
    <n v="743"/>
    <n v="1039"/>
    <n v="19124"/>
    <n v="20"/>
    <n v="675"/>
    <n v="241"/>
    <n v="19592"/>
    <n v="-1"/>
  </r>
  <r>
    <s v="Oct 15 2024 11:29 am"/>
    <d v="2024-10-15T00:00:00"/>
    <x v="1"/>
    <x v="4"/>
    <x v="1"/>
    <d v="1899-12-30T11:29:00"/>
    <x v="13"/>
    <n v="424"/>
    <n v="744"/>
    <n v="20"/>
    <n v="225"/>
    <n v="1"/>
    <n v="5"/>
    <n v="9"/>
    <n v="237"/>
    <n v="1"/>
  </r>
  <r>
    <s v="Oct 14 2024 11:05 am"/>
    <d v="2024-10-14T00:00:00"/>
    <x v="1"/>
    <x v="4"/>
    <x v="2"/>
    <d v="1899-12-30T11:05:00"/>
    <x v="13"/>
    <n v="423"/>
    <n v="743"/>
    <n v="49"/>
    <n v="1539"/>
    <n v="5"/>
    <n v="16"/>
    <n v="45"/>
    <n v="1569"/>
    <n v="3"/>
  </r>
  <r>
    <s v="Oct 13 2024 11:13 am"/>
    <d v="2024-10-13T00:00:00"/>
    <x v="1"/>
    <x v="4"/>
    <x v="6"/>
    <d v="1899-12-30T11:13:00"/>
    <x v="13"/>
    <n v="422"/>
    <n v="740"/>
    <n v="15"/>
    <n v="471"/>
    <n v="1"/>
    <n v="3"/>
    <n v="3"/>
    <n v="465"/>
    <n v="0"/>
  </r>
  <r>
    <s v="Oct 12 2024 10:50 am"/>
    <d v="2024-10-12T00:00:00"/>
    <x v="1"/>
    <x v="4"/>
    <x v="3"/>
    <d v="1899-12-30T10:50:00"/>
    <x v="9"/>
    <n v="421"/>
    <n v="740"/>
    <n v="3"/>
    <n v="171"/>
    <n v="1"/>
    <n v="0"/>
    <n v="0"/>
    <n v="171"/>
    <n v="0"/>
  </r>
  <r>
    <s v="Oct 11 2024 10:58 am"/>
    <d v="2024-10-11T00:00:00"/>
    <x v="1"/>
    <x v="4"/>
    <x v="4"/>
    <d v="1899-12-30T10:58:00"/>
    <x v="9"/>
    <n v="420"/>
    <n v="740"/>
    <n v="20"/>
    <n v="480"/>
    <n v="2"/>
    <n v="3"/>
    <n v="5"/>
    <n v="484"/>
    <n v="2"/>
  </r>
  <r>
    <s v="Oct 10 2024 11:46 am"/>
    <d v="2024-10-10T00:00:00"/>
    <x v="1"/>
    <x v="4"/>
    <x v="5"/>
    <d v="1899-12-30T11:46:00"/>
    <x v="13"/>
    <n v="419"/>
    <n v="738"/>
    <n v="36"/>
    <n v="737"/>
    <n v="2"/>
    <n v="7"/>
    <n v="1"/>
    <n v="736"/>
    <n v="7"/>
  </r>
  <r>
    <s v="Oct 09 2024 7:16 am"/>
    <d v="2024-10-09T00:00:00"/>
    <x v="1"/>
    <x v="4"/>
    <x v="0"/>
    <d v="1899-12-30T07:16:00"/>
    <x v="3"/>
    <n v="418"/>
    <n v="731"/>
    <n v="7"/>
    <n v="281"/>
    <n v="4"/>
    <n v="2"/>
    <n v="0"/>
    <n v="280"/>
    <n v="9"/>
  </r>
  <r>
    <s v="Oct 08 2024 11:33 am"/>
    <d v="2024-10-08T00:00:00"/>
    <x v="1"/>
    <x v="4"/>
    <x v="1"/>
    <d v="1899-12-30T11:33:00"/>
    <x v="13"/>
    <n v="417"/>
    <n v="722"/>
    <n v="11"/>
    <n v="286"/>
    <n v="1"/>
    <n v="1"/>
    <n v="8"/>
    <n v="309"/>
    <n v="10"/>
  </r>
  <r>
    <s v="Oct 07 2024 11:24 am"/>
    <d v="2024-10-07T00:00:00"/>
    <x v="1"/>
    <x v="4"/>
    <x v="2"/>
    <d v="1899-12-30T11:24:00"/>
    <x v="13"/>
    <n v="416"/>
    <n v="712"/>
    <n v="36"/>
    <n v="508"/>
    <n v="1"/>
    <n v="7"/>
    <n v="5"/>
    <n v="517"/>
    <n v="3"/>
  </r>
  <r>
    <s v="Oct 06 2024 11:17 am"/>
    <d v="2024-10-06T00:00:00"/>
    <x v="1"/>
    <x v="4"/>
    <x v="6"/>
    <d v="1899-12-30T11:17:00"/>
    <x v="13"/>
    <n v="415"/>
    <n v="709"/>
    <n v="92"/>
    <n v="1514"/>
    <n v="7"/>
    <n v="32"/>
    <n v="36"/>
    <n v="1560"/>
    <n v="6"/>
  </r>
  <r>
    <s v="Oct 05 2024 12:44 pm"/>
    <d v="2024-10-05T00:00:00"/>
    <x v="1"/>
    <x v="4"/>
    <x v="3"/>
    <d v="1899-12-30T12:44:00"/>
    <x v="11"/>
    <n v="414"/>
    <n v="703"/>
    <n v="67"/>
    <n v="1480"/>
    <n v="1"/>
    <n v="7"/>
    <n v="19"/>
    <n v="1485"/>
    <n v="7"/>
  </r>
  <r>
    <s v="Oct 04 2024 7:13 am"/>
    <d v="2024-10-04T00:00:00"/>
    <x v="1"/>
    <x v="4"/>
    <x v="4"/>
    <d v="1899-12-30T07:13:00"/>
    <x v="3"/>
    <n v="413"/>
    <n v="696"/>
    <n v="56"/>
    <n v="1420"/>
    <n v="2"/>
    <n v="20"/>
    <n v="15"/>
    <n v="1448"/>
    <n v="-2"/>
  </r>
  <r>
    <s v="Oct 03 2024 1:55 pm"/>
    <d v="2024-10-03T00:00:00"/>
    <x v="1"/>
    <x v="4"/>
    <x v="5"/>
    <d v="1899-12-30T13:55:00"/>
    <x v="8"/>
    <n v="412"/>
    <n v="698"/>
    <n v="31"/>
    <n v="299"/>
    <n v="6"/>
    <n v="8"/>
    <n v="30"/>
    <n v="337"/>
    <n v="2"/>
  </r>
  <r>
    <s v="Oct 02 2024 11:05 am"/>
    <d v="2024-10-02T00:00:00"/>
    <x v="1"/>
    <x v="4"/>
    <x v="0"/>
    <d v="1899-12-30T11:05:00"/>
    <x v="13"/>
    <n v="411"/>
    <n v="696"/>
    <n v="20"/>
    <n v="561"/>
    <n v="3"/>
    <n v="4"/>
    <n v="7"/>
    <n v="578"/>
    <n v="0"/>
  </r>
  <r>
    <s v="Oct 02 2024 6:41 am"/>
    <d v="2024-10-02T00:00:00"/>
    <x v="1"/>
    <x v="4"/>
    <x v="0"/>
    <d v="1899-12-30T06:41:00"/>
    <x v="12"/>
    <n v="410"/>
    <n v="696"/>
    <n v="4"/>
    <n v="118"/>
    <n v="1"/>
    <n v="1"/>
    <n v="0"/>
    <n v="114"/>
    <n v="6"/>
  </r>
  <r>
    <s v="Sep 30 2024 7:18 am"/>
    <d v="2024-09-30T00:00:00"/>
    <x v="1"/>
    <x v="5"/>
    <x v="2"/>
    <d v="1899-12-30T07:18:00"/>
    <x v="3"/>
    <n v="409"/>
    <n v="690"/>
    <n v="15"/>
    <n v="202"/>
    <n v="2"/>
    <n v="2"/>
    <n v="5"/>
    <n v="212"/>
    <n v="2"/>
  </r>
  <r>
    <s v="Sep 29 2024 6:55 pm"/>
    <d v="2024-09-29T00:00:00"/>
    <x v="1"/>
    <x v="5"/>
    <x v="6"/>
    <d v="1899-12-30T18:55:00"/>
    <x v="15"/>
    <n v="408"/>
    <n v="688"/>
    <n v="11"/>
    <n v="216"/>
    <n v="1"/>
    <n v="5"/>
    <n v="2"/>
    <n v="226"/>
    <n v="2"/>
  </r>
  <r>
    <s v="Sep 29 2024 3:39 am"/>
    <d v="2024-09-29T00:00:00"/>
    <x v="1"/>
    <x v="5"/>
    <x v="6"/>
    <d v="1899-12-30T03:39:00"/>
    <x v="16"/>
    <n v="407"/>
    <n v="686"/>
    <n v="65"/>
    <n v="1542"/>
    <n v="1"/>
    <n v="65"/>
    <n v="4"/>
    <n v="1543"/>
    <n v="1"/>
  </r>
  <r>
    <s v="Sep 27 2024 11:25 am"/>
    <d v="2024-09-27T00:00:00"/>
    <x v="1"/>
    <x v="5"/>
    <x v="4"/>
    <d v="1899-12-30T11:25:00"/>
    <x v="13"/>
    <n v="406"/>
    <n v="685"/>
    <n v="21"/>
    <n v="302"/>
    <n v="1"/>
    <n v="1"/>
    <n v="3"/>
    <n v="312"/>
    <n v="3"/>
  </r>
  <r>
    <s v="Sep 26 2024 7:20 am"/>
    <d v="2024-09-26T00:00:00"/>
    <x v="1"/>
    <x v="5"/>
    <x v="5"/>
    <d v="1899-12-30T07:20:00"/>
    <x v="3"/>
    <n v="405"/>
    <n v="682"/>
    <n v="13"/>
    <n v="336"/>
    <n v="1"/>
    <n v="2"/>
    <n v="3"/>
    <n v="335"/>
    <n v="10"/>
  </r>
  <r>
    <s v="Sep 25 2024 6:45 am"/>
    <d v="2024-09-25T00:00:00"/>
    <x v="1"/>
    <x v="5"/>
    <x v="0"/>
    <d v="1899-12-30T06:45:00"/>
    <x v="12"/>
    <n v="404"/>
    <n v="672"/>
    <n v="102"/>
    <n v="2090"/>
    <n v="5"/>
    <n v="71"/>
    <n v="37"/>
    <n v="2160"/>
    <n v="2"/>
  </r>
  <r>
    <s v="Sep 24 2024 2:20 pm"/>
    <d v="2024-09-24T00:00:00"/>
    <x v="1"/>
    <x v="5"/>
    <x v="1"/>
    <d v="1899-12-30T14:20:00"/>
    <x v="7"/>
    <n v="403"/>
    <n v="670"/>
    <n v="8"/>
    <n v="529"/>
    <n v="1"/>
    <n v="6"/>
    <n v="2"/>
    <n v="521"/>
    <n v="9"/>
  </r>
  <r>
    <s v="Sep 23 2024 10:50 am"/>
    <d v="2024-09-23T00:00:00"/>
    <x v="1"/>
    <x v="5"/>
    <x v="2"/>
    <d v="1899-12-30T10:50:00"/>
    <x v="9"/>
    <n v="402"/>
    <n v="661"/>
    <n v="112"/>
    <n v="1414"/>
    <n v="2"/>
    <n v="34"/>
    <n v="10"/>
    <n v="1411"/>
    <n v="1"/>
  </r>
  <r>
    <s v="Sep 22 2024 7:10 am"/>
    <d v="2024-09-22T00:00:00"/>
    <x v="1"/>
    <x v="5"/>
    <x v="6"/>
    <d v="1899-12-30T07:10:00"/>
    <x v="3"/>
    <n v="401"/>
    <n v="660"/>
    <n v="138"/>
    <n v="1460"/>
    <n v="1"/>
    <n v="67"/>
    <n v="12"/>
    <n v="1468"/>
    <n v="5"/>
  </r>
  <r>
    <s v="Sep 21 2024 6:47 am"/>
    <d v="2024-09-21T00:00:00"/>
    <x v="1"/>
    <x v="5"/>
    <x v="3"/>
    <d v="1899-12-30T06:47:00"/>
    <x v="12"/>
    <n v="400"/>
    <n v="655"/>
    <n v="116"/>
    <n v="1698"/>
    <n v="1"/>
    <n v="75"/>
    <n v="13"/>
    <n v="1708"/>
    <n v="-2"/>
  </r>
  <r>
    <s v="Sep 20 2024 6:49 am"/>
    <d v="2024-09-20T00:00:00"/>
    <x v="1"/>
    <x v="5"/>
    <x v="4"/>
    <d v="1899-12-30T06:49:00"/>
    <x v="12"/>
    <n v="399"/>
    <n v="657"/>
    <n v="100"/>
    <n v="1347"/>
    <n v="1"/>
    <n v="24"/>
    <n v="15"/>
    <n v="1457"/>
    <n v="2"/>
  </r>
  <r>
    <s v="Sep 19 2024 7:28 am"/>
    <d v="2024-09-19T00:00:00"/>
    <x v="1"/>
    <x v="5"/>
    <x v="5"/>
    <d v="1899-12-30T07:28:00"/>
    <x v="3"/>
    <n v="398"/>
    <n v="655"/>
    <n v="51"/>
    <n v="1450"/>
    <n v="2"/>
    <n v="36"/>
    <n v="0"/>
    <n v="1486"/>
    <n v="3"/>
  </r>
  <r>
    <s v="Sep 18 2024 7:24 am"/>
    <d v="2024-09-18T00:00:00"/>
    <x v="1"/>
    <x v="5"/>
    <x v="0"/>
    <d v="1899-12-30T07:24:00"/>
    <x v="3"/>
    <n v="397"/>
    <n v="652"/>
    <n v="8"/>
    <n v="211"/>
    <n v="1"/>
    <n v="2"/>
    <n v="7"/>
    <n v="240"/>
    <n v="4"/>
  </r>
  <r>
    <s v="Sep 17 2024 7:16 am"/>
    <d v="2024-09-17T00:00:00"/>
    <x v="1"/>
    <x v="5"/>
    <x v="1"/>
    <d v="1899-12-30T07:16:00"/>
    <x v="3"/>
    <n v="396"/>
    <n v="648"/>
    <n v="80"/>
    <n v="1264"/>
    <n v="4"/>
    <n v="22"/>
    <n v="10"/>
    <n v="1280"/>
    <n v="3"/>
  </r>
  <r>
    <s v="Sep 16 2024 12:21 pm"/>
    <d v="2024-09-16T00:00:00"/>
    <x v="1"/>
    <x v="5"/>
    <x v="2"/>
    <d v="1899-12-30T12:21:00"/>
    <x v="11"/>
    <n v="395"/>
    <n v="645"/>
    <n v="4"/>
    <n v="114"/>
    <n v="2"/>
    <n v="0"/>
    <n v="2"/>
    <n v="117"/>
    <n v="2"/>
  </r>
  <r>
    <s v="Sep 15 2024 7:23 am"/>
    <d v="2024-09-15T00:00:00"/>
    <x v="1"/>
    <x v="5"/>
    <x v="6"/>
    <d v="1899-12-30T07:23:00"/>
    <x v="3"/>
    <n v="394"/>
    <n v="643"/>
    <n v="5"/>
    <n v="473"/>
    <n v="2"/>
    <n v="0"/>
    <n v="0"/>
    <n v="473"/>
    <n v="1"/>
  </r>
  <r>
    <s v="Sep 14 2024 10:04 am"/>
    <d v="2024-09-14T00:00:00"/>
    <x v="1"/>
    <x v="5"/>
    <x v="3"/>
    <d v="1899-12-30T10:04:00"/>
    <x v="9"/>
    <n v="393"/>
    <n v="642"/>
    <n v="111"/>
    <n v="1284"/>
    <n v="3"/>
    <n v="73"/>
    <n v="21"/>
    <n v="1355"/>
    <n v="2"/>
  </r>
  <r>
    <s v="Sep 13 2024 12:48 pm"/>
    <d v="2024-09-13T00:00:00"/>
    <x v="1"/>
    <x v="5"/>
    <x v="4"/>
    <d v="1899-12-30T12:48:00"/>
    <x v="11"/>
    <n v="392"/>
    <n v="640"/>
    <n v="29"/>
    <n v="483"/>
    <n v="3"/>
    <n v="3"/>
    <n v="1"/>
    <n v="503"/>
    <n v="5"/>
  </r>
  <r>
    <s v="Sep 12 2024 9:31 am"/>
    <d v="2024-09-12T00:00:00"/>
    <x v="1"/>
    <x v="5"/>
    <x v="5"/>
    <d v="1899-12-30T09:31:00"/>
    <x v="17"/>
    <n v="391"/>
    <n v="635"/>
    <n v="9"/>
    <n v="468"/>
    <n v="2"/>
    <n v="7"/>
    <n v="5"/>
    <n v="497"/>
    <n v="4"/>
  </r>
  <r>
    <s v="Sep 11 2024 7:09 am"/>
    <d v="2024-09-11T00:00:00"/>
    <x v="1"/>
    <x v="5"/>
    <x v="0"/>
    <d v="1899-12-30T07:09:00"/>
    <x v="3"/>
    <n v="390"/>
    <n v="631"/>
    <n v="134"/>
    <n v="1295"/>
    <n v="2"/>
    <n v="60"/>
    <n v="8"/>
    <n v="1343"/>
    <n v="0"/>
  </r>
  <r>
    <s v="Sep 10 2024 7:11 am"/>
    <d v="2024-09-10T00:00:00"/>
    <x v="1"/>
    <x v="5"/>
    <x v="1"/>
    <d v="1899-12-30T07:11:00"/>
    <x v="3"/>
    <n v="389"/>
    <n v="631"/>
    <n v="7"/>
    <n v="281"/>
    <n v="1"/>
    <n v="1"/>
    <n v="3"/>
    <n v="289"/>
    <n v="4"/>
  </r>
  <r>
    <s v="Sep 09 2024 7:11 am"/>
    <d v="2024-09-09T00:00:00"/>
    <x v="1"/>
    <x v="5"/>
    <x v="2"/>
    <d v="1899-12-30T07:11:00"/>
    <x v="3"/>
    <n v="388"/>
    <n v="627"/>
    <n v="20"/>
    <n v="340"/>
    <n v="2"/>
    <n v="14"/>
    <n v="7"/>
    <n v="326"/>
    <n v="5"/>
  </r>
  <r>
    <s v="Sep 08 2024 7:03 am"/>
    <d v="2024-09-08T00:00:00"/>
    <x v="1"/>
    <x v="5"/>
    <x v="6"/>
    <d v="1899-12-30T07:03:00"/>
    <x v="3"/>
    <n v="387"/>
    <n v="622"/>
    <n v="23"/>
    <n v="224"/>
    <n v="2"/>
    <n v="32"/>
    <n v="8"/>
    <n v="228"/>
    <n v="4"/>
  </r>
  <r>
    <s v="Sep 07 2024 6:55 am"/>
    <d v="2024-09-07T00:00:00"/>
    <x v="1"/>
    <x v="5"/>
    <x v="3"/>
    <d v="1899-12-30T06:55:00"/>
    <x v="12"/>
    <n v="386"/>
    <n v="618"/>
    <n v="23"/>
    <n v="299"/>
    <n v="2"/>
    <n v="1"/>
    <n v="9"/>
    <n v="326"/>
    <n v="4"/>
  </r>
  <r>
    <s v="Sep 06 2024 6:56 am"/>
    <d v="2024-09-06T00:00:00"/>
    <x v="1"/>
    <x v="5"/>
    <x v="4"/>
    <d v="1899-12-30T06:56:00"/>
    <x v="12"/>
    <n v="385"/>
    <n v="614"/>
    <n v="14"/>
    <n v="195"/>
    <n v="1"/>
    <n v="1"/>
    <n v="2"/>
    <n v="190"/>
    <n v="4"/>
  </r>
  <r>
    <s v="Sep 05 2024 7:08 am"/>
    <d v="2024-09-05T00:00:00"/>
    <x v="1"/>
    <x v="5"/>
    <x v="5"/>
    <d v="1899-12-30T07:08:00"/>
    <x v="3"/>
    <n v="384"/>
    <n v="610"/>
    <n v="4"/>
    <n v="156"/>
    <n v="1"/>
    <n v="2"/>
    <n v="0"/>
    <n v="160"/>
    <n v="6"/>
  </r>
  <r>
    <s v="Sep 04 2024 11:23 am"/>
    <d v="2024-09-04T00:00:00"/>
    <x v="1"/>
    <x v="5"/>
    <x v="0"/>
    <d v="1899-12-30T11:23:00"/>
    <x v="13"/>
    <n v="383"/>
    <n v="604"/>
    <n v="3"/>
    <n v="98"/>
    <n v="1"/>
    <n v="3"/>
    <n v="2"/>
    <n v="99"/>
    <n v="5"/>
  </r>
  <r>
    <s v="Sep 03 2024 7:11 am"/>
    <d v="2024-09-03T00:00:00"/>
    <x v="1"/>
    <x v="5"/>
    <x v="1"/>
    <d v="1899-12-30T07:11:00"/>
    <x v="3"/>
    <n v="382"/>
    <n v="599"/>
    <n v="8"/>
    <n v="197"/>
    <n v="4"/>
    <n v="0"/>
    <n v="2"/>
    <n v="199"/>
    <n v="2"/>
  </r>
  <r>
    <s v="Sep 02 2024 9:01 am"/>
    <d v="2024-09-02T00:00:00"/>
    <x v="1"/>
    <x v="5"/>
    <x v="2"/>
    <d v="1899-12-30T09:01:00"/>
    <x v="17"/>
    <n v="381"/>
    <n v="597"/>
    <n v="7"/>
    <n v="82"/>
    <n v="1"/>
    <n v="1"/>
    <n v="1"/>
    <n v="83"/>
    <n v="0"/>
  </r>
  <r>
    <s v="Sep 02 2024 6:23 am"/>
    <d v="2024-09-02T00:00:00"/>
    <x v="1"/>
    <x v="5"/>
    <x v="2"/>
    <d v="1899-12-30T06:23:00"/>
    <x v="12"/>
    <n v="380"/>
    <n v="597"/>
    <n v="13"/>
    <n v="187"/>
    <n v="1"/>
    <n v="5"/>
    <n v="7"/>
    <n v="198"/>
    <n v="5"/>
  </r>
  <r>
    <s v="Aug 31 2024 7:24 am"/>
    <d v="2024-08-31T00:00:00"/>
    <x v="1"/>
    <x v="6"/>
    <x v="3"/>
    <d v="1899-12-30T07:24:00"/>
    <x v="3"/>
    <n v="379"/>
    <n v="592"/>
    <n v="10"/>
    <n v="305"/>
    <n v="2"/>
    <n v="3"/>
    <n v="2"/>
    <n v="306"/>
    <n v="5"/>
  </r>
  <r>
    <s v="Aug 30 2024 6:41 am"/>
    <d v="2024-08-30T00:00:00"/>
    <x v="1"/>
    <x v="6"/>
    <x v="4"/>
    <d v="1899-12-30T06:41:00"/>
    <x v="12"/>
    <n v="378"/>
    <n v="587"/>
    <n v="16"/>
    <n v="153"/>
    <n v="1"/>
    <n v="6"/>
    <n v="2"/>
    <n v="157"/>
    <n v="0"/>
  </r>
  <r>
    <s v="Aug 29 2024 11:36 pm"/>
    <d v="2024-08-29T00:00:00"/>
    <x v="1"/>
    <x v="6"/>
    <x v="5"/>
    <d v="1899-12-30T23:36:00"/>
    <x v="18"/>
    <n v="377"/>
    <n v="587"/>
    <n v="8"/>
    <n v="228"/>
    <n v="1"/>
    <n v="0"/>
    <n v="2"/>
    <n v="235"/>
    <n v="2"/>
  </r>
  <r>
    <s v="Aug 28 2024 7:18 am"/>
    <d v="2024-08-28T00:00:00"/>
    <x v="1"/>
    <x v="6"/>
    <x v="0"/>
    <d v="1899-12-30T07:18:00"/>
    <x v="3"/>
    <n v="376"/>
    <n v="585"/>
    <n v="5"/>
    <n v="81"/>
    <n v="1"/>
    <n v="1"/>
    <n v="0"/>
    <n v="81"/>
    <n v="1"/>
  </r>
  <r>
    <s v="Aug 27 2024 6:55 am"/>
    <d v="2024-08-27T00:00:00"/>
    <x v="1"/>
    <x v="6"/>
    <x v="1"/>
    <d v="1899-12-30T06:55:00"/>
    <x v="12"/>
    <n v="375"/>
    <n v="584"/>
    <n v="5"/>
    <n v="69"/>
    <n v="1"/>
    <n v="0"/>
    <n v="0"/>
    <n v="67"/>
    <n v="4"/>
  </r>
  <r>
    <s v="Aug 26 2024 6:58 am"/>
    <d v="2024-08-26T00:00:00"/>
    <x v="1"/>
    <x v="6"/>
    <x v="2"/>
    <d v="1899-12-30T06:58:00"/>
    <x v="12"/>
    <n v="374"/>
    <n v="580"/>
    <n v="19"/>
    <n v="446"/>
    <n v="3"/>
    <n v="1"/>
    <n v="17"/>
    <n v="496"/>
    <n v="4"/>
  </r>
  <r>
    <s v="Aug 25 2024 6:52 am"/>
    <d v="2024-08-25T00:00:00"/>
    <x v="1"/>
    <x v="6"/>
    <x v="6"/>
    <d v="1899-12-30T06:52:00"/>
    <x v="12"/>
    <n v="373"/>
    <n v="576"/>
    <n v="17"/>
    <n v="188"/>
    <n v="1"/>
    <n v="0"/>
    <n v="2"/>
    <n v="193"/>
    <n v="2"/>
  </r>
  <r>
    <s v="Aug 24 2024 7:39 am"/>
    <d v="2024-08-24T00:00:00"/>
    <x v="1"/>
    <x v="6"/>
    <x v="3"/>
    <d v="1899-12-30T07:39:00"/>
    <x v="3"/>
    <n v="372"/>
    <n v="574"/>
    <n v="35"/>
    <n v="380"/>
    <n v="2"/>
    <n v="23"/>
    <n v="13"/>
    <n v="396"/>
    <n v="-1"/>
  </r>
  <r>
    <s v="Aug 23 2024 7:32 am"/>
    <d v="2024-08-23T00:00:00"/>
    <x v="1"/>
    <x v="6"/>
    <x v="4"/>
    <d v="1899-12-30T07:32:00"/>
    <x v="3"/>
    <n v="371"/>
    <n v="575"/>
    <n v="9"/>
    <n v="93"/>
    <n v="2"/>
    <n v="6"/>
    <n v="2"/>
    <n v="93"/>
    <n v="0"/>
  </r>
  <r>
    <s v="Aug 22 2024 6:47 am"/>
    <d v="2024-08-22T00:00:00"/>
    <x v="1"/>
    <x v="6"/>
    <x v="5"/>
    <d v="1899-12-30T06:47:00"/>
    <x v="12"/>
    <n v="370"/>
    <n v="575"/>
    <n v="3"/>
    <n v="60"/>
    <n v="1"/>
    <n v="0"/>
    <n v="2"/>
    <n v="61"/>
    <n v="3"/>
  </r>
  <r>
    <s v="Aug 21 2024 7:09 am"/>
    <d v="2024-08-21T00:00:00"/>
    <x v="1"/>
    <x v="6"/>
    <x v="0"/>
    <d v="1899-12-30T07:09:00"/>
    <x v="3"/>
    <n v="369"/>
    <n v="572"/>
    <n v="78"/>
    <n v="1063"/>
    <n v="2"/>
    <n v="10"/>
    <n v="18"/>
    <n v="1086"/>
    <n v="1"/>
  </r>
  <r>
    <s v="Aug 20 2024 7:00 am"/>
    <d v="2024-08-20T00:00:00"/>
    <x v="1"/>
    <x v="6"/>
    <x v="1"/>
    <d v="1899-12-30T07:00:00"/>
    <x v="3"/>
    <n v="368"/>
    <n v="571"/>
    <n v="5"/>
    <n v="76"/>
    <n v="1"/>
    <n v="0"/>
    <n v="2"/>
    <n v="75"/>
    <n v="0"/>
  </r>
  <r>
    <s v="Aug 19 2024 6:40 am"/>
    <d v="2024-08-19T00:00:00"/>
    <x v="1"/>
    <x v="6"/>
    <x v="2"/>
    <d v="1899-12-30T06:40:00"/>
    <x v="12"/>
    <n v="367"/>
    <n v="571"/>
    <n v="42"/>
    <n v="309"/>
    <n v="3"/>
    <n v="9"/>
    <n v="2"/>
    <n v="337"/>
    <n v="0"/>
  </r>
  <r>
    <s v="Aug 18 2024 7:12 am"/>
    <d v="2024-08-18T00:00:00"/>
    <x v="1"/>
    <x v="6"/>
    <x v="6"/>
    <d v="1899-12-30T07:12:00"/>
    <x v="3"/>
    <n v="366"/>
    <n v="571"/>
    <n v="10"/>
    <n v="69"/>
    <n v="1"/>
    <n v="2"/>
    <n v="2"/>
    <n v="72"/>
    <n v="0"/>
  </r>
  <r>
    <s v="Aug 17 2024 6:49 am"/>
    <d v="2024-08-17T00:00:00"/>
    <x v="1"/>
    <x v="6"/>
    <x v="3"/>
    <d v="1899-12-30T06:49:00"/>
    <x v="12"/>
    <n v="365"/>
    <n v="571"/>
    <n v="2"/>
    <n v="54"/>
    <n v="1"/>
    <n v="0"/>
    <n v="0"/>
    <n v="54"/>
    <n v="1"/>
  </r>
  <r>
    <s v="Aug 16 2024 6:53 am"/>
    <d v="2024-08-16T00:00:00"/>
    <x v="1"/>
    <x v="6"/>
    <x v="4"/>
    <d v="1899-12-30T06:53:00"/>
    <x v="12"/>
    <n v="364"/>
    <n v="570"/>
    <n v="122"/>
    <n v="1203"/>
    <n v="4"/>
    <n v="38"/>
    <n v="18"/>
    <n v="1333"/>
    <n v="1"/>
  </r>
  <r>
    <s v="Aug 15 2024 7:16 am"/>
    <d v="2024-08-15T00:00:00"/>
    <x v="1"/>
    <x v="6"/>
    <x v="5"/>
    <d v="1899-12-30T07:16:00"/>
    <x v="3"/>
    <n v="363"/>
    <n v="569"/>
    <n v="3"/>
    <n v="51"/>
    <n v="1"/>
    <n v="0"/>
    <n v="0"/>
    <n v="50"/>
    <n v="1"/>
  </r>
  <r>
    <s v="Aug 14 2024 7:01 am"/>
    <d v="2024-08-14T00:00:00"/>
    <x v="1"/>
    <x v="6"/>
    <x v="0"/>
    <d v="1899-12-30T07:01:00"/>
    <x v="3"/>
    <n v="362"/>
    <n v="568"/>
    <n v="4"/>
    <n v="55"/>
    <n v="1"/>
    <n v="0"/>
    <n v="0"/>
    <n v="57"/>
    <n v="0"/>
  </r>
  <r>
    <s v="Aug 13 2024 6:47 am"/>
    <d v="2024-08-13T00:00:00"/>
    <x v="1"/>
    <x v="6"/>
    <x v="1"/>
    <d v="1899-12-30T06:47:00"/>
    <x v="12"/>
    <n v="361"/>
    <n v="568"/>
    <n v="13"/>
    <n v="81"/>
    <n v="1"/>
    <n v="1"/>
    <n v="1"/>
    <n v="96"/>
    <n v="0"/>
  </r>
  <r>
    <s v="Aug 12 2024 6:48 am"/>
    <d v="2024-08-12T00:00:00"/>
    <x v="1"/>
    <x v="6"/>
    <x v="2"/>
    <d v="1899-12-30T06:48:00"/>
    <x v="12"/>
    <n v="360"/>
    <n v="568"/>
    <n v="6"/>
    <n v="59"/>
    <n v="1"/>
    <n v="0"/>
    <n v="0"/>
    <n v="62"/>
    <n v="1"/>
  </r>
  <r>
    <s v="Aug 11 2024 6:46 am"/>
    <d v="2024-08-11T00:00:00"/>
    <x v="1"/>
    <x v="6"/>
    <x v="6"/>
    <d v="1899-12-30T06:46:00"/>
    <x v="12"/>
    <n v="359"/>
    <n v="567"/>
    <n v="8"/>
    <n v="68"/>
    <n v="1"/>
    <n v="2"/>
    <n v="0"/>
    <n v="71"/>
    <n v="0"/>
  </r>
  <r>
    <s v="Aug 10 2024 7:06 am"/>
    <d v="2024-08-10T00:00:00"/>
    <x v="1"/>
    <x v="6"/>
    <x v="3"/>
    <d v="1899-12-30T07:06:00"/>
    <x v="3"/>
    <n v="358"/>
    <n v="567"/>
    <n v="121389"/>
    <n v="606337"/>
    <n v="629"/>
    <n v="49795"/>
    <n v="13747"/>
    <n v="671466"/>
    <n v="2"/>
  </r>
  <r>
    <s v="Aug 09 2024 7:04 am"/>
    <d v="2024-08-09T00:00:00"/>
    <x v="1"/>
    <x v="6"/>
    <x v="4"/>
    <d v="1899-12-30T07:04:00"/>
    <x v="3"/>
    <n v="357"/>
    <n v="565"/>
    <n v="13"/>
    <n v="83"/>
    <n v="4"/>
    <n v="1"/>
    <n v="6"/>
    <n v="96"/>
    <n v="1"/>
  </r>
  <r>
    <s v="Aug 08 2024 7:22 am"/>
    <d v="2024-08-08T00:00:00"/>
    <x v="1"/>
    <x v="6"/>
    <x v="5"/>
    <d v="1899-12-30T07:22:00"/>
    <x v="3"/>
    <n v="356"/>
    <n v="564"/>
    <n v="106"/>
    <n v="1112"/>
    <n v="1"/>
    <n v="68"/>
    <n v="23"/>
    <n v="1440"/>
    <n v="-1"/>
  </r>
  <r>
    <s v="Aug 07 2024 7:00 am"/>
    <d v="2024-08-07T00:00:00"/>
    <x v="1"/>
    <x v="6"/>
    <x v="0"/>
    <d v="1899-12-30T07:00:00"/>
    <x v="3"/>
    <n v="355"/>
    <n v="565"/>
    <n v="6"/>
    <n v="45"/>
    <n v="1"/>
    <n v="0"/>
    <n v="1"/>
    <n v="49"/>
    <n v="0"/>
  </r>
  <r>
    <s v="Aug 06 2024 7:17 am"/>
    <d v="2024-08-06T00:00:00"/>
    <x v="1"/>
    <x v="6"/>
    <x v="1"/>
    <d v="1899-12-30T07:17:00"/>
    <x v="3"/>
    <n v="354"/>
    <n v="565"/>
    <n v="5"/>
    <n v="59"/>
    <n v="1"/>
    <n v="3"/>
    <n v="1"/>
    <n v="62"/>
    <n v="0"/>
  </r>
  <r>
    <s v="Aug 05 2024 6:46 am"/>
    <d v="2024-08-05T00:00:00"/>
    <x v="1"/>
    <x v="6"/>
    <x v="2"/>
    <d v="1899-12-30T06:46:00"/>
    <x v="12"/>
    <n v="353"/>
    <n v="565"/>
    <n v="8"/>
    <n v="136"/>
    <n v="1"/>
    <n v="5"/>
    <n v="0"/>
    <n v="163"/>
    <n v="0"/>
  </r>
  <r>
    <s v="Aug 04 2024 6:47 am"/>
    <d v="2024-08-04T00:00:00"/>
    <x v="1"/>
    <x v="6"/>
    <x v="6"/>
    <d v="1899-12-30T06:47:00"/>
    <x v="12"/>
    <n v="352"/>
    <n v="565"/>
    <n v="104"/>
    <n v="979"/>
    <n v="6"/>
    <n v="64"/>
    <n v="7"/>
    <n v="1165"/>
    <n v="0"/>
  </r>
  <r>
    <s v="Aug 03 2024 6:55 am"/>
    <d v="2024-08-03T00:00:00"/>
    <x v="1"/>
    <x v="6"/>
    <x v="3"/>
    <d v="1899-12-30T06:55:00"/>
    <x v="12"/>
    <n v="351"/>
    <n v="565"/>
    <n v="1"/>
    <n v="34"/>
    <n v="2"/>
    <n v="0"/>
    <n v="0"/>
    <n v="34"/>
    <n v="0"/>
  </r>
  <r>
    <s v="Aug 02 2024 6:59 am"/>
    <d v="2024-08-02T00:00:00"/>
    <x v="1"/>
    <x v="6"/>
    <x v="4"/>
    <d v="1899-12-30T06:59:00"/>
    <x v="12"/>
    <n v="350"/>
    <n v="565"/>
    <n v="10"/>
    <n v="99"/>
    <n v="1"/>
    <n v="5"/>
    <n v="1"/>
    <n v="105"/>
    <n v="-1"/>
  </r>
  <r>
    <s v="Aug 01 2024 6:41 am"/>
    <d v="2024-08-01T00:00:00"/>
    <x v="1"/>
    <x v="6"/>
    <x v="5"/>
    <d v="1899-12-30T06:41:00"/>
    <x v="12"/>
    <n v="349"/>
    <n v="566"/>
    <n v="5"/>
    <n v="42"/>
    <n v="4"/>
    <n v="0"/>
    <n v="2"/>
    <n v="48"/>
    <n v="0"/>
  </r>
  <r>
    <s v="Jul 31 2024 6:42 am"/>
    <d v="2024-07-31T00:00:00"/>
    <x v="1"/>
    <x v="7"/>
    <x v="0"/>
    <d v="1899-12-30T06:42:00"/>
    <x v="12"/>
    <n v="348"/>
    <n v="566"/>
    <n v="7"/>
    <n v="151"/>
    <n v="1"/>
    <n v="2"/>
    <n v="2"/>
    <n v="179"/>
    <n v="-1"/>
  </r>
  <r>
    <s v="Jul 30 2024 7:17 am"/>
    <d v="2024-07-30T00:00:00"/>
    <x v="1"/>
    <x v="7"/>
    <x v="1"/>
    <d v="1899-12-30T07:17:00"/>
    <x v="3"/>
    <n v="347"/>
    <n v="567"/>
    <n v="2"/>
    <n v="32"/>
    <n v="1"/>
    <n v="0"/>
    <n v="1"/>
    <n v="38"/>
    <n v="0"/>
  </r>
  <r>
    <s v="Jul 29 2024 6:59 am"/>
    <d v="2024-07-29T00:00:00"/>
    <x v="1"/>
    <x v="7"/>
    <x v="2"/>
    <d v="1899-12-30T06:59:00"/>
    <x v="12"/>
    <n v="346"/>
    <n v="567"/>
    <n v="19"/>
    <n v="142"/>
    <n v="4"/>
    <n v="3"/>
    <n v="9"/>
    <n v="164"/>
    <n v="0"/>
  </r>
  <r>
    <s v="Jul 28 2024 6:49 am"/>
    <d v="2024-07-28T00:00:00"/>
    <x v="1"/>
    <x v="7"/>
    <x v="6"/>
    <d v="1899-12-30T06:49:00"/>
    <x v="12"/>
    <n v="345"/>
    <n v="567"/>
    <n v="1"/>
    <n v="35"/>
    <n v="1"/>
    <n v="0"/>
    <n v="0"/>
    <n v="39"/>
    <n v="0"/>
  </r>
  <r>
    <s v="Jul 27 2024 9:17 am"/>
    <d v="2024-07-27T00:00:00"/>
    <x v="1"/>
    <x v="7"/>
    <x v="3"/>
    <d v="1899-12-30T09:17:00"/>
    <x v="17"/>
    <n v="344"/>
    <n v="567"/>
    <n v="126"/>
    <n v="1629"/>
    <n v="5"/>
    <n v="45"/>
    <n v="55"/>
    <n v="1874"/>
    <n v="-1"/>
  </r>
  <r>
    <s v="Jul 26 2024 8:26 am"/>
    <d v="2024-07-26T00:00:00"/>
    <x v="1"/>
    <x v="7"/>
    <x v="4"/>
    <d v="1899-12-30T08:26:00"/>
    <x v="19"/>
    <n v="343"/>
    <n v="568"/>
    <n v="1"/>
    <n v="46"/>
    <n v="1"/>
    <n v="0"/>
    <n v="2"/>
    <n v="50"/>
    <n v="0"/>
  </r>
  <r>
    <s v="Jul 25 2024 6:48 am"/>
    <d v="2024-07-25T00:00:00"/>
    <x v="1"/>
    <x v="7"/>
    <x v="5"/>
    <d v="1899-12-30T06:48:00"/>
    <x v="12"/>
    <n v="342"/>
    <n v="568"/>
    <n v="6"/>
    <n v="48"/>
    <n v="1"/>
    <n v="0"/>
    <n v="1"/>
    <n v="48"/>
    <n v="-1"/>
  </r>
  <r>
    <s v="Jul 24 2024 6:55 am"/>
    <d v="2024-07-24T00:00:00"/>
    <x v="1"/>
    <x v="7"/>
    <x v="0"/>
    <d v="1899-12-30T06:55:00"/>
    <x v="12"/>
    <n v="341"/>
    <n v="569"/>
    <n v="2"/>
    <n v="37"/>
    <n v="1"/>
    <n v="0"/>
    <n v="1"/>
    <n v="41"/>
    <n v="1"/>
  </r>
  <r>
    <s v="Jul 23 2024 6:51 am"/>
    <d v="2024-07-23T00:00:00"/>
    <x v="1"/>
    <x v="7"/>
    <x v="1"/>
    <d v="1899-12-30T06:51:00"/>
    <x v="12"/>
    <n v="340"/>
    <n v="568"/>
    <n v="133"/>
    <n v="1458"/>
    <n v="4"/>
    <n v="111"/>
    <n v="39"/>
    <n v="1789"/>
    <n v="0"/>
  </r>
  <r>
    <s v="Jul 22 2024 6:48 am"/>
    <d v="2024-07-22T00:00:00"/>
    <x v="1"/>
    <x v="7"/>
    <x v="2"/>
    <d v="1899-12-30T06:48:00"/>
    <x v="12"/>
    <n v="339"/>
    <n v="568"/>
    <n v="18"/>
    <n v="271"/>
    <n v="4"/>
    <n v="1"/>
    <n v="1"/>
    <n v="278"/>
    <n v="-1"/>
  </r>
  <r>
    <s v="Jul 21 2024 6:59 am"/>
    <d v="2024-07-21T00:00:00"/>
    <x v="1"/>
    <x v="7"/>
    <x v="6"/>
    <d v="1899-12-30T06:59:00"/>
    <x v="12"/>
    <n v="338"/>
    <n v="569"/>
    <n v="25117"/>
    <n v="370102"/>
    <n v="221"/>
    <n v="20683"/>
    <n v="8812"/>
    <n v="392092"/>
    <n v="0"/>
  </r>
  <r>
    <s v="Jul 20 2024 7:57 am"/>
    <d v="2024-07-20T00:00:00"/>
    <x v="1"/>
    <x v="7"/>
    <x v="3"/>
    <d v="1899-12-30T07:57:00"/>
    <x v="3"/>
    <n v="337"/>
    <n v="569"/>
    <n v="13"/>
    <n v="339"/>
    <n v="3"/>
    <n v="0"/>
    <n v="4"/>
    <n v="335"/>
    <n v="0"/>
  </r>
  <r>
    <s v="Jul 19 2024 6:53 am"/>
    <d v="2024-07-19T00:00:00"/>
    <x v="1"/>
    <x v="7"/>
    <x v="4"/>
    <d v="1899-12-30T06:53:00"/>
    <x v="12"/>
    <n v="336"/>
    <n v="569"/>
    <n v="6"/>
    <n v="276"/>
    <n v="2"/>
    <n v="0"/>
    <n v="2"/>
    <n v="245"/>
    <n v="0"/>
  </r>
  <r>
    <s v="Jul 18 2024 6:48 am"/>
    <d v="2024-07-18T00:00:00"/>
    <x v="1"/>
    <x v="7"/>
    <x v="5"/>
    <d v="1899-12-30T06:48:00"/>
    <x v="12"/>
    <n v="335"/>
    <n v="569"/>
    <n v="4"/>
    <n v="87"/>
    <n v="3"/>
    <n v="1"/>
    <n v="2"/>
    <n v="82"/>
    <n v="0"/>
  </r>
  <r>
    <s v="Jul 17 2024 6:59 am"/>
    <d v="2024-07-17T00:00:00"/>
    <x v="1"/>
    <x v="7"/>
    <x v="0"/>
    <d v="1899-12-30T06:59:00"/>
    <x v="12"/>
    <n v="334"/>
    <n v="569"/>
    <n v="7"/>
    <n v="67"/>
    <n v="1"/>
    <n v="0"/>
    <n v="1"/>
    <n v="63"/>
    <n v="0"/>
  </r>
  <r>
    <s v="Jul 16 2024 7:34 am"/>
    <d v="2024-07-16T00:00:00"/>
    <x v="1"/>
    <x v="7"/>
    <x v="1"/>
    <d v="1899-12-30T07:34:00"/>
    <x v="3"/>
    <n v="333"/>
    <n v="569"/>
    <n v="7"/>
    <n v="79"/>
    <n v="1"/>
    <n v="6"/>
    <n v="3"/>
    <n v="96"/>
    <n v="-2"/>
  </r>
  <r>
    <s v="Jul 15 2024 7:03 am"/>
    <d v="2024-07-15T00:00:00"/>
    <x v="1"/>
    <x v="7"/>
    <x v="2"/>
    <d v="1899-12-30T07:03:00"/>
    <x v="3"/>
    <n v="332"/>
    <n v="571"/>
    <n v="8"/>
    <n v="70"/>
    <n v="1"/>
    <n v="1"/>
    <n v="1"/>
    <n v="73"/>
    <n v="0"/>
  </r>
  <r>
    <s v="Jul 14 2024 7:12 am"/>
    <d v="2024-07-14T00:00:00"/>
    <x v="1"/>
    <x v="7"/>
    <x v="6"/>
    <d v="1899-12-30T07:12:00"/>
    <x v="3"/>
    <n v="331"/>
    <n v="571"/>
    <n v="4"/>
    <n v="61"/>
    <n v="1"/>
    <n v="0"/>
    <n v="0"/>
    <n v="55"/>
    <n v="-1"/>
  </r>
  <r>
    <s v="Jul 13 2024 6:59 am"/>
    <d v="2024-07-13T00:00:00"/>
    <x v="1"/>
    <x v="7"/>
    <x v="3"/>
    <d v="1899-12-30T06:59:00"/>
    <x v="12"/>
    <n v="330"/>
    <n v="572"/>
    <n v="18"/>
    <n v="334"/>
    <n v="1"/>
    <n v="4"/>
    <n v="4"/>
    <n v="298"/>
    <n v="1"/>
  </r>
  <r>
    <s v="Jul 12 2024 6:41 am"/>
    <d v="2024-07-12T00:00:00"/>
    <x v="1"/>
    <x v="7"/>
    <x v="4"/>
    <d v="1899-12-30T06:41:00"/>
    <x v="12"/>
    <n v="329"/>
    <n v="571"/>
    <n v="45"/>
    <n v="620"/>
    <n v="2"/>
    <n v="17"/>
    <n v="11"/>
    <n v="635"/>
    <n v="0"/>
  </r>
  <r>
    <s v="Jul 11 2024 6:57 am"/>
    <d v="2024-07-11T00:00:00"/>
    <x v="1"/>
    <x v="7"/>
    <x v="5"/>
    <d v="1899-12-30T06:57:00"/>
    <x v="12"/>
    <n v="328"/>
    <n v="571"/>
    <n v="6"/>
    <n v="86"/>
    <n v="1"/>
    <n v="28"/>
    <n v="1"/>
    <n v="91"/>
    <n v="-1"/>
  </r>
  <r>
    <s v="Jul 10 2024 6:49 am"/>
    <d v="2024-07-10T00:00:00"/>
    <x v="1"/>
    <x v="7"/>
    <x v="0"/>
    <d v="1899-12-30T06:49:00"/>
    <x v="12"/>
    <n v="327"/>
    <n v="572"/>
    <n v="12"/>
    <n v="90"/>
    <n v="1"/>
    <n v="4"/>
    <n v="5"/>
    <n v="91"/>
    <n v="1"/>
  </r>
  <r>
    <s v="Jul 09 2024 6:47 am"/>
    <d v="2024-07-09T00:00:00"/>
    <x v="1"/>
    <x v="7"/>
    <x v="1"/>
    <d v="1899-12-30T06:47:00"/>
    <x v="12"/>
    <n v="326"/>
    <n v="571"/>
    <n v="6"/>
    <n v="69"/>
    <n v="1"/>
    <n v="1"/>
    <n v="5"/>
    <n v="67"/>
    <n v="0"/>
  </r>
  <r>
    <s v="Jul 08 2024 7:21 am"/>
    <d v="2024-07-08T00:00:00"/>
    <x v="1"/>
    <x v="7"/>
    <x v="2"/>
    <d v="1899-12-30T07:21:00"/>
    <x v="3"/>
    <n v="325"/>
    <n v="571"/>
    <n v="9"/>
    <n v="52"/>
    <n v="1"/>
    <n v="0"/>
    <n v="1"/>
    <n v="50"/>
    <n v="0"/>
  </r>
  <r>
    <s v="Jul 07 2024 6:57 am"/>
    <d v="2024-07-07T00:00:00"/>
    <x v="1"/>
    <x v="7"/>
    <x v="6"/>
    <d v="1899-12-30T06:57:00"/>
    <x v="12"/>
    <n v="324"/>
    <n v="571"/>
    <n v="10"/>
    <n v="115"/>
    <n v="2"/>
    <n v="1"/>
    <n v="1"/>
    <n v="117"/>
    <n v="-1"/>
  </r>
  <r>
    <s v="Jul 06 2024 7:32 am"/>
    <d v="2024-07-06T00:00:00"/>
    <x v="1"/>
    <x v="7"/>
    <x v="3"/>
    <d v="1899-12-30T07:32:00"/>
    <x v="3"/>
    <n v="323"/>
    <n v="572"/>
    <n v="20"/>
    <n v="131"/>
    <n v="2"/>
    <n v="3"/>
    <n v="4"/>
    <n v="135"/>
    <n v="-1"/>
  </r>
  <r>
    <s v="Jul 05 2024 6:34 am"/>
    <d v="2024-07-05T00:00:00"/>
    <x v="1"/>
    <x v="7"/>
    <x v="4"/>
    <d v="1899-12-30T06:34:00"/>
    <x v="12"/>
    <n v="322"/>
    <n v="573"/>
    <n v="3"/>
    <n v="183"/>
    <n v="1"/>
    <n v="0"/>
    <n v="1"/>
    <n v="150"/>
    <n v="1"/>
  </r>
  <r>
    <s v="Jul 04 2024 6:38 am"/>
    <d v="2024-07-04T00:00:00"/>
    <x v="1"/>
    <x v="7"/>
    <x v="5"/>
    <d v="1899-12-30T06:38:00"/>
    <x v="12"/>
    <n v="321"/>
    <n v="572"/>
    <n v="6"/>
    <n v="247"/>
    <n v="1"/>
    <n v="1"/>
    <n v="1"/>
    <n v="197"/>
    <n v="10"/>
  </r>
  <r>
    <s v="Jul 03 2024 6:43 am"/>
    <d v="2024-07-03T00:00:00"/>
    <x v="1"/>
    <x v="7"/>
    <x v="0"/>
    <d v="1899-12-30T06:43:00"/>
    <x v="12"/>
    <n v="320"/>
    <n v="562"/>
    <n v="31"/>
    <n v="307"/>
    <n v="2"/>
    <n v="10"/>
    <n v="19"/>
    <n v="331"/>
    <n v="5"/>
  </r>
  <r>
    <s v="Jul 02 2024 8:25 am"/>
    <d v="2024-07-02T00:00:00"/>
    <x v="1"/>
    <x v="7"/>
    <x v="1"/>
    <d v="1899-12-30T08:25:00"/>
    <x v="19"/>
    <n v="319"/>
    <n v="557"/>
    <n v="18"/>
    <n v="168"/>
    <n v="2"/>
    <n v="0"/>
    <n v="6"/>
    <n v="181"/>
    <n v="4"/>
  </r>
  <r>
    <s v="Jul 01 2024 6:34 am"/>
    <d v="2024-07-01T00:00:00"/>
    <x v="1"/>
    <x v="7"/>
    <x v="2"/>
    <d v="1899-12-30T06:34:00"/>
    <x v="12"/>
    <n v="318"/>
    <n v="553"/>
    <n v="113"/>
    <n v="1842"/>
    <n v="10"/>
    <n v="5"/>
    <n v="25"/>
    <n v="1919"/>
    <n v="7"/>
  </r>
  <r>
    <s v="Jun 30 2024 6:39 am"/>
    <d v="2024-06-30T00:00:00"/>
    <x v="1"/>
    <x v="8"/>
    <x v="6"/>
    <d v="1899-12-30T06:39:00"/>
    <x v="12"/>
    <n v="317"/>
    <n v="546"/>
    <n v="36"/>
    <n v="736"/>
    <n v="1"/>
    <n v="3"/>
    <n v="24"/>
    <n v="785"/>
    <n v="12"/>
  </r>
  <r>
    <s v="Jun 29 2024 6:36 am"/>
    <d v="2024-06-29T00:00:00"/>
    <x v="1"/>
    <x v="8"/>
    <x v="3"/>
    <d v="1899-12-30T06:36:00"/>
    <x v="12"/>
    <n v="316"/>
    <n v="534"/>
    <n v="16"/>
    <n v="198"/>
    <n v="1"/>
    <n v="7"/>
    <n v="0"/>
    <n v="178"/>
    <n v="9"/>
  </r>
  <r>
    <s v="Jun 28 2024 7:07 am"/>
    <d v="2024-06-28T00:00:00"/>
    <x v="1"/>
    <x v="8"/>
    <x v="4"/>
    <d v="1899-12-30T07:07:00"/>
    <x v="3"/>
    <n v="315"/>
    <n v="525"/>
    <n v="12"/>
    <n v="226"/>
    <n v="1"/>
    <n v="1"/>
    <n v="0"/>
    <n v="246"/>
    <n v="3"/>
  </r>
  <r>
    <s v="Jun 27 2024 6:46 am"/>
    <d v="2024-06-27T00:00:00"/>
    <x v="1"/>
    <x v="8"/>
    <x v="5"/>
    <d v="1899-12-30T06:46:00"/>
    <x v="12"/>
    <n v="314"/>
    <n v="522"/>
    <n v="7"/>
    <n v="149"/>
    <n v="1"/>
    <n v="1"/>
    <n v="2"/>
    <n v="179"/>
    <n v="-2"/>
  </r>
  <r>
    <s v="Jun 26 2024 6:57 am"/>
    <d v="2024-06-26T00:00:00"/>
    <x v="1"/>
    <x v="8"/>
    <x v="0"/>
    <d v="1899-12-30T06:57:00"/>
    <x v="12"/>
    <n v="313"/>
    <n v="524"/>
    <n v="20"/>
    <n v="236"/>
    <n v="1"/>
    <n v="5"/>
    <n v="1"/>
    <n v="274"/>
    <n v="1"/>
  </r>
  <r>
    <s v="Jun 25 2024 6:47 am"/>
    <d v="2024-06-25T00:00:00"/>
    <x v="1"/>
    <x v="8"/>
    <x v="1"/>
    <d v="1899-12-30T06:47:00"/>
    <x v="12"/>
    <n v="312"/>
    <n v="523"/>
    <n v="13"/>
    <n v="117"/>
    <n v="1"/>
    <n v="0"/>
    <n v="2"/>
    <n v="131"/>
    <n v="-1"/>
  </r>
  <r>
    <s v="Jun 24 2024 6:36 am"/>
    <d v="2024-06-24T00:00:00"/>
    <x v="1"/>
    <x v="8"/>
    <x v="2"/>
    <d v="1899-12-30T06:36:00"/>
    <x v="12"/>
    <n v="311"/>
    <n v="524"/>
    <n v="9"/>
    <n v="116"/>
    <n v="1"/>
    <n v="1"/>
    <n v="0"/>
    <n v="132"/>
    <n v="1"/>
  </r>
  <r>
    <s v="Jun 23 2024 6:36 am"/>
    <d v="2024-06-23T00:00:00"/>
    <x v="1"/>
    <x v="8"/>
    <x v="6"/>
    <d v="1899-12-30T06:36:00"/>
    <x v="12"/>
    <n v="310"/>
    <n v="523"/>
    <n v="163"/>
    <n v="1044"/>
    <n v="1"/>
    <n v="17"/>
    <n v="18"/>
    <n v="1270"/>
    <n v="1"/>
  </r>
  <r>
    <s v="Jun 22 2024 6:56 am"/>
    <d v="2024-06-22T00:00:00"/>
    <x v="1"/>
    <x v="8"/>
    <x v="3"/>
    <d v="1899-12-30T06:56:00"/>
    <x v="12"/>
    <n v="309"/>
    <n v="522"/>
    <n v="2"/>
    <n v="63"/>
    <n v="1"/>
    <n v="0"/>
    <n v="1"/>
    <n v="67"/>
    <n v="-1"/>
  </r>
  <r>
    <s v="Jun 21 2024 6:51 am"/>
    <d v="2024-06-21T00:00:00"/>
    <x v="1"/>
    <x v="8"/>
    <x v="4"/>
    <d v="1899-12-30T06:51:00"/>
    <x v="12"/>
    <n v="308"/>
    <n v="523"/>
    <n v="5"/>
    <n v="77"/>
    <n v="1"/>
    <n v="0"/>
    <n v="0"/>
    <n v="85"/>
    <n v="0"/>
  </r>
  <r>
    <s v="Jun 20 2024 6:38 am"/>
    <d v="2024-06-20T00:00:00"/>
    <x v="1"/>
    <x v="8"/>
    <x v="5"/>
    <d v="1899-12-30T06:38:00"/>
    <x v="12"/>
    <n v="307"/>
    <n v="523"/>
    <n v="6"/>
    <n v="87"/>
    <n v="2"/>
    <n v="0"/>
    <n v="4"/>
    <n v="101"/>
    <n v="0"/>
  </r>
  <r>
    <s v="Jun 19 2024 8:21 am"/>
    <d v="2024-06-19T00:00:00"/>
    <x v="1"/>
    <x v="8"/>
    <x v="0"/>
    <d v="1899-12-30T08:21:00"/>
    <x v="19"/>
    <n v="306"/>
    <n v="523"/>
    <n v="19"/>
    <n v="137"/>
    <n v="1"/>
    <n v="2"/>
    <n v="3"/>
    <n v="157"/>
    <n v="2"/>
  </r>
  <r>
    <s v="Jun 18 2024 6:35 am"/>
    <d v="2024-06-18T00:00:00"/>
    <x v="1"/>
    <x v="8"/>
    <x v="1"/>
    <d v="1899-12-30T06:35:00"/>
    <x v="12"/>
    <n v="305"/>
    <n v="521"/>
    <n v="194"/>
    <n v="1716"/>
    <n v="3"/>
    <n v="58"/>
    <n v="15"/>
    <n v="1960"/>
    <n v="2"/>
  </r>
  <r>
    <s v="Jun 17 2024 6:40 am"/>
    <d v="2024-06-17T00:00:00"/>
    <x v="1"/>
    <x v="8"/>
    <x v="2"/>
    <d v="1899-12-30T06:40:00"/>
    <x v="12"/>
    <n v="304"/>
    <n v="519"/>
    <n v="129"/>
    <n v="1027"/>
    <n v="2"/>
    <n v="6"/>
    <n v="11"/>
    <n v="1151"/>
    <n v="-1"/>
  </r>
  <r>
    <s v="Jun 16 2024 6:46 am"/>
    <d v="2024-06-16T00:00:00"/>
    <x v="1"/>
    <x v="8"/>
    <x v="6"/>
    <d v="1899-12-30T06:46:00"/>
    <x v="12"/>
    <n v="303"/>
    <n v="520"/>
    <n v="67"/>
    <n v="1234"/>
    <n v="11"/>
    <n v="8"/>
    <n v="4"/>
    <n v="1380"/>
    <n v="1"/>
  </r>
  <r>
    <s v="Jun 15 2024 6:56 am"/>
    <d v="2024-06-15T00:00:00"/>
    <x v="1"/>
    <x v="8"/>
    <x v="3"/>
    <d v="1899-12-30T06:56:00"/>
    <x v="12"/>
    <n v="302"/>
    <n v="519"/>
    <n v="4"/>
    <n v="100"/>
    <n v="1"/>
    <n v="0"/>
    <n v="2"/>
    <n v="113"/>
    <n v="0"/>
  </r>
  <r>
    <s v="Jun 14 2024 6:34 am"/>
    <d v="2024-06-14T00:00:00"/>
    <x v="1"/>
    <x v="8"/>
    <x v="4"/>
    <d v="1899-12-30T06:34:00"/>
    <x v="12"/>
    <n v="301"/>
    <n v="519"/>
    <n v="124"/>
    <n v="1175"/>
    <n v="2"/>
    <n v="11"/>
    <n v="31"/>
    <n v="1319"/>
    <n v="0"/>
  </r>
  <r>
    <s v="Jun 13 2024 6:42 am"/>
    <d v="2024-06-13T00:00:00"/>
    <x v="1"/>
    <x v="8"/>
    <x v="5"/>
    <d v="1899-12-30T06:42:00"/>
    <x v="12"/>
    <n v="300"/>
    <n v="519"/>
    <n v="4"/>
    <n v="72"/>
    <n v="1"/>
    <n v="0"/>
    <n v="0"/>
    <n v="81"/>
    <n v="1"/>
  </r>
  <r>
    <s v="Jun 12 2024 6:43 am"/>
    <d v="2024-06-12T00:00:00"/>
    <x v="1"/>
    <x v="8"/>
    <x v="0"/>
    <d v="1899-12-30T06:43:00"/>
    <x v="12"/>
    <n v="299"/>
    <n v="518"/>
    <n v="8"/>
    <n v="81"/>
    <n v="1"/>
    <n v="4"/>
    <n v="2"/>
    <n v="90"/>
    <n v="1"/>
  </r>
  <r>
    <s v="Jun 11 2024 7:02 am"/>
    <d v="2024-06-11T00:00:00"/>
    <x v="1"/>
    <x v="8"/>
    <x v="1"/>
    <d v="1899-12-30T07:02:00"/>
    <x v="3"/>
    <n v="298"/>
    <n v="517"/>
    <n v="11"/>
    <n v="205"/>
    <n v="1"/>
    <n v="1"/>
    <n v="8"/>
    <n v="245"/>
    <n v="0"/>
  </r>
  <r>
    <s v="Jun 10 2024 6:32 am"/>
    <d v="2024-06-10T00:00:00"/>
    <x v="1"/>
    <x v="8"/>
    <x v="2"/>
    <d v="1899-12-30T06:32:00"/>
    <x v="12"/>
    <n v="297"/>
    <n v="517"/>
    <n v="2"/>
    <n v="151"/>
    <n v="1"/>
    <n v="0"/>
    <n v="0"/>
    <n v="168"/>
    <n v="1"/>
  </r>
  <r>
    <s v="Jun 09 2024 6:35 am"/>
    <d v="2024-06-09T00:00:00"/>
    <x v="1"/>
    <x v="8"/>
    <x v="6"/>
    <d v="1899-12-30T06:35:00"/>
    <x v="12"/>
    <n v="296"/>
    <n v="516"/>
    <n v="694"/>
    <n v="7762"/>
    <n v="25"/>
    <n v="166"/>
    <n v="208"/>
    <n v="8849"/>
    <n v="2"/>
  </r>
  <r>
    <s v="Jun 08 2024 6:39 am"/>
    <d v="2024-06-08T00:00:00"/>
    <x v="1"/>
    <x v="8"/>
    <x v="3"/>
    <d v="1899-12-30T06:39:00"/>
    <x v="12"/>
    <n v="295"/>
    <n v="514"/>
    <n v="3"/>
    <n v="81"/>
    <n v="1"/>
    <n v="0"/>
    <n v="0"/>
    <n v="92"/>
    <n v="1"/>
  </r>
  <r>
    <s v="Jun 07 2024 7:41 am"/>
    <d v="2024-06-07T00:00:00"/>
    <x v="1"/>
    <x v="8"/>
    <x v="4"/>
    <d v="1899-12-30T07:41:00"/>
    <x v="3"/>
    <n v="294"/>
    <n v="513"/>
    <n v="7"/>
    <n v="63"/>
    <n v="1"/>
    <n v="1"/>
    <n v="0"/>
    <n v="73"/>
    <n v="-1"/>
  </r>
  <r>
    <s v="Jun 06 2024 6:37 am"/>
    <d v="2024-06-06T00:00:00"/>
    <x v="1"/>
    <x v="8"/>
    <x v="5"/>
    <d v="1899-12-30T06:37:00"/>
    <x v="12"/>
    <n v="293"/>
    <n v="514"/>
    <n v="4"/>
    <n v="59"/>
    <n v="1"/>
    <n v="0"/>
    <n v="0"/>
    <n v="68"/>
    <n v="-1"/>
  </r>
  <r>
    <s v="Jun 05 2024 6:37 am"/>
    <d v="2024-06-05T00:00:00"/>
    <x v="1"/>
    <x v="8"/>
    <x v="0"/>
    <d v="1899-12-30T06:37:00"/>
    <x v="12"/>
    <n v="292"/>
    <n v="515"/>
    <n v="6"/>
    <n v="72"/>
    <n v="1"/>
    <n v="0"/>
    <n v="2"/>
    <n v="80"/>
    <n v="0"/>
  </r>
  <r>
    <s v="Jun 04 2024 6:43 am"/>
    <d v="2024-06-04T00:00:00"/>
    <x v="1"/>
    <x v="8"/>
    <x v="1"/>
    <d v="1899-12-30T06:43:00"/>
    <x v="12"/>
    <n v="291"/>
    <n v="515"/>
    <n v="5"/>
    <n v="72"/>
    <n v="2"/>
    <n v="0"/>
    <n v="0"/>
    <n v="78"/>
    <n v="0"/>
  </r>
  <r>
    <s v="Jun 03 2024 6:59 am"/>
    <d v="2024-06-03T00:00:00"/>
    <x v="1"/>
    <x v="8"/>
    <x v="2"/>
    <d v="1899-12-30T06:59:00"/>
    <x v="12"/>
    <n v="290"/>
    <n v="515"/>
    <n v="5"/>
    <n v="85"/>
    <n v="0"/>
    <n v="1"/>
    <n v="2"/>
    <n v="98"/>
    <n v="1"/>
  </r>
  <r>
    <s v="Jun 02 2024 6:59 am"/>
    <d v="2024-06-02T00:00:00"/>
    <x v="1"/>
    <x v="8"/>
    <x v="6"/>
    <d v="1899-12-30T06:59:00"/>
    <x v="12"/>
    <n v="289"/>
    <n v="514"/>
    <n v="9"/>
    <n v="104"/>
    <n v="3"/>
    <n v="1"/>
    <n v="3"/>
    <n v="129"/>
    <n v="2"/>
  </r>
  <r>
    <s v="Jun 01 2024 6:36 am"/>
    <d v="2024-06-01T00:00:00"/>
    <x v="1"/>
    <x v="8"/>
    <x v="3"/>
    <d v="1899-12-30T06:36:00"/>
    <x v="12"/>
    <n v="288"/>
    <n v="512"/>
    <n v="80"/>
    <n v="1033"/>
    <n v="1"/>
    <n v="13"/>
    <n v="9"/>
    <n v="1135"/>
    <n v="1"/>
  </r>
  <r>
    <s v="May 31 2024 6:55 am"/>
    <d v="2024-05-31T00:00:00"/>
    <x v="1"/>
    <x v="9"/>
    <x v="4"/>
    <d v="1899-12-30T06:55:00"/>
    <x v="12"/>
    <n v="287"/>
    <n v="511"/>
    <n v="21"/>
    <n v="259"/>
    <n v="1"/>
    <n v="2"/>
    <n v="2"/>
    <n v="291"/>
    <n v="0"/>
  </r>
  <r>
    <s v="May 30 2024 7:06 am"/>
    <d v="2024-05-30T00:00:00"/>
    <x v="1"/>
    <x v="9"/>
    <x v="5"/>
    <d v="1899-12-30T07:06:00"/>
    <x v="3"/>
    <n v="286"/>
    <n v="511"/>
    <n v="44"/>
    <n v="783"/>
    <n v="1"/>
    <n v="29"/>
    <n v="1"/>
    <n v="886"/>
    <n v="2"/>
  </r>
  <r>
    <s v="May 29 2024 7:00 am"/>
    <d v="2024-05-29T00:00:00"/>
    <x v="1"/>
    <x v="9"/>
    <x v="0"/>
    <d v="1899-12-30T07:00:00"/>
    <x v="3"/>
    <n v="285"/>
    <n v="509"/>
    <n v="3"/>
    <n v="82"/>
    <n v="1"/>
    <n v="0"/>
    <n v="0"/>
    <n v="86"/>
    <n v="0"/>
  </r>
  <r>
    <s v="May 28 2024 7:06 am"/>
    <d v="2024-05-28T00:00:00"/>
    <x v="1"/>
    <x v="9"/>
    <x v="1"/>
    <d v="1899-12-30T07:06:00"/>
    <x v="3"/>
    <n v="284"/>
    <n v="509"/>
    <n v="4"/>
    <n v="52"/>
    <n v="1"/>
    <n v="0"/>
    <n v="0"/>
    <n v="62"/>
    <n v="0"/>
  </r>
  <r>
    <s v="May 27 2024 6:24 am"/>
    <d v="2024-05-27T00:00:00"/>
    <x v="1"/>
    <x v="9"/>
    <x v="2"/>
    <d v="1899-12-30T06:24:00"/>
    <x v="12"/>
    <n v="283"/>
    <n v="509"/>
    <n v="7"/>
    <n v="84"/>
    <n v="2"/>
    <n v="0"/>
    <n v="0"/>
    <n v="93"/>
    <n v="2"/>
  </r>
  <r>
    <s v="May 26 2024 7:02 am"/>
    <d v="2024-05-26T00:00:00"/>
    <x v="1"/>
    <x v="9"/>
    <x v="6"/>
    <d v="1899-12-30T07:02:00"/>
    <x v="3"/>
    <n v="282"/>
    <n v="507"/>
    <n v="53"/>
    <n v="992"/>
    <n v="1"/>
    <n v="9"/>
    <n v="1"/>
    <n v="1096"/>
    <n v="0"/>
  </r>
  <r>
    <s v="May 25 2024 6:19 am"/>
    <d v="2024-05-25T00:00:00"/>
    <x v="1"/>
    <x v="9"/>
    <x v="3"/>
    <d v="1899-12-30T06:19:00"/>
    <x v="12"/>
    <n v="281"/>
    <n v="507"/>
    <n v="93"/>
    <n v="1282"/>
    <n v="2"/>
    <n v="75"/>
    <n v="8"/>
    <n v="1409"/>
    <n v="3"/>
  </r>
  <r>
    <s v="May 24 2024 6:23 am"/>
    <d v="2024-05-24T00:00:00"/>
    <x v="1"/>
    <x v="9"/>
    <x v="4"/>
    <d v="1899-12-30T06:23:00"/>
    <x v="12"/>
    <n v="280"/>
    <n v="504"/>
    <n v="43"/>
    <n v="331"/>
    <n v="1"/>
    <n v="16"/>
    <n v="3"/>
    <n v="382"/>
    <n v="1"/>
  </r>
  <r>
    <s v="May 23 2024 8:03 am"/>
    <d v="2024-05-23T00:00:00"/>
    <x v="1"/>
    <x v="9"/>
    <x v="5"/>
    <d v="1899-12-30T08:03:00"/>
    <x v="19"/>
    <n v="279"/>
    <n v="503"/>
    <n v="7"/>
    <n v="280"/>
    <n v="1"/>
    <n v="4"/>
    <n v="1"/>
    <n v="322"/>
    <n v="-1"/>
  </r>
  <r>
    <s v="May 22 2024 6:03 am"/>
    <d v="2024-05-22T00:00:00"/>
    <x v="1"/>
    <x v="9"/>
    <x v="0"/>
    <d v="1899-12-30T06:03:00"/>
    <x v="12"/>
    <n v="278"/>
    <n v="504"/>
    <n v="37"/>
    <n v="963"/>
    <n v="1"/>
    <n v="8"/>
    <n v="5"/>
    <n v="1086"/>
    <n v="0"/>
  </r>
  <r>
    <s v="May 21 2024 6:30 am"/>
    <d v="2024-05-21T00:00:00"/>
    <x v="1"/>
    <x v="9"/>
    <x v="1"/>
    <d v="1899-12-30T06:30:00"/>
    <x v="12"/>
    <n v="277"/>
    <n v="504"/>
    <n v="5"/>
    <n v="59"/>
    <n v="1"/>
    <n v="0"/>
    <n v="0"/>
    <n v="63"/>
    <n v="6"/>
  </r>
  <r>
    <s v="May 20 2024 5:51 am"/>
    <d v="2024-05-20T00:00:00"/>
    <x v="1"/>
    <x v="9"/>
    <x v="2"/>
    <d v="1899-12-30T05:51:00"/>
    <x v="6"/>
    <n v="276"/>
    <n v="498"/>
    <n v="3"/>
    <n v="67"/>
    <n v="1"/>
    <n v="0"/>
    <n v="1"/>
    <n v="72"/>
    <n v="3"/>
  </r>
  <r>
    <s v="May 19 2024 4:52 am"/>
    <d v="2024-05-19T00:00:00"/>
    <x v="1"/>
    <x v="9"/>
    <x v="6"/>
    <d v="1899-12-30T04:52:00"/>
    <x v="14"/>
    <n v="275"/>
    <n v="495"/>
    <n v="19"/>
    <n v="149"/>
    <n v="1"/>
    <n v="3"/>
    <n v="7"/>
    <n v="164"/>
    <n v="0"/>
  </r>
  <r>
    <s v="May 18 2024 9:27 am"/>
    <d v="2024-05-18T00:00:00"/>
    <x v="1"/>
    <x v="9"/>
    <x v="3"/>
    <d v="1899-12-30T09:27:00"/>
    <x v="17"/>
    <n v="274"/>
    <n v="495"/>
    <n v="57"/>
    <n v="1112"/>
    <n v="5"/>
    <n v="69"/>
    <n v="18"/>
    <n v="1287"/>
    <n v="2"/>
  </r>
  <r>
    <s v="May 17 2024 6:27 am"/>
    <d v="2024-05-17T00:00:00"/>
    <x v="1"/>
    <x v="9"/>
    <x v="4"/>
    <d v="1899-12-30T06:27:00"/>
    <x v="12"/>
    <n v="273"/>
    <n v="493"/>
    <n v="9"/>
    <n v="83"/>
    <n v="2"/>
    <n v="1"/>
    <n v="1"/>
    <n v="83"/>
    <n v="0"/>
  </r>
  <r>
    <s v="May 16 2024 6:36 am"/>
    <d v="2024-05-16T00:00:00"/>
    <x v="1"/>
    <x v="9"/>
    <x v="5"/>
    <d v="1899-12-30T06:36:00"/>
    <x v="12"/>
    <n v="272"/>
    <n v="493"/>
    <n v="111"/>
    <n v="1108"/>
    <n v="2"/>
    <n v="31"/>
    <n v="30"/>
    <n v="1245"/>
    <n v="0"/>
  </r>
  <r>
    <s v="May 15 2024 6:53 am"/>
    <d v="2024-05-15T00:00:00"/>
    <x v="1"/>
    <x v="9"/>
    <x v="0"/>
    <d v="1899-12-30T06:53:00"/>
    <x v="12"/>
    <n v="271"/>
    <n v="493"/>
    <n v="14"/>
    <n v="164"/>
    <n v="8"/>
    <n v="5"/>
    <n v="4"/>
    <n v="187"/>
    <n v="1"/>
  </r>
  <r>
    <s v="May 14 2024 5:41 am"/>
    <d v="2024-05-14T00:00:00"/>
    <x v="1"/>
    <x v="9"/>
    <x v="1"/>
    <d v="1899-12-30T05:41:00"/>
    <x v="6"/>
    <n v="270"/>
    <n v="492"/>
    <n v="26"/>
    <n v="215"/>
    <n v="4"/>
    <n v="2"/>
    <n v="6"/>
    <n v="240"/>
    <n v="1"/>
  </r>
  <r>
    <s v="May 13 2024 6:39 am"/>
    <d v="2024-05-13T00:00:00"/>
    <x v="1"/>
    <x v="9"/>
    <x v="2"/>
    <d v="1899-12-30T06:39:00"/>
    <x v="12"/>
    <n v="269"/>
    <n v="491"/>
    <n v="6"/>
    <n v="79"/>
    <n v="4"/>
    <n v="2"/>
    <n v="1"/>
    <n v="94"/>
    <n v="1"/>
  </r>
  <r>
    <s v="May 12 2024 6:56 am"/>
    <d v="2024-05-12T00:00:00"/>
    <x v="1"/>
    <x v="9"/>
    <x v="6"/>
    <d v="1899-12-30T06:56:00"/>
    <x v="12"/>
    <n v="268"/>
    <n v="490"/>
    <n v="7"/>
    <n v="110"/>
    <n v="1"/>
    <n v="0"/>
    <n v="3"/>
    <n v="117"/>
    <n v="3"/>
  </r>
  <r>
    <s v="May 11 2024 5:38 am"/>
    <d v="2024-05-11T00:00:00"/>
    <x v="1"/>
    <x v="9"/>
    <x v="3"/>
    <d v="1899-12-30T05:38:00"/>
    <x v="6"/>
    <n v="267"/>
    <n v="487"/>
    <n v="109"/>
    <n v="1728"/>
    <n v="3"/>
    <n v="115"/>
    <n v="13"/>
    <n v="1789"/>
    <n v="3"/>
  </r>
  <r>
    <s v="May 10 2024 5:26 am"/>
    <d v="2024-05-10T00:00:00"/>
    <x v="1"/>
    <x v="9"/>
    <x v="4"/>
    <d v="1899-12-30T05:26:00"/>
    <x v="6"/>
    <n v="266"/>
    <n v="484"/>
    <n v="22"/>
    <n v="210"/>
    <n v="5"/>
    <n v="9"/>
    <n v="4"/>
    <n v="227"/>
    <n v="2"/>
  </r>
  <r>
    <s v="May 09 2024 5:54 am"/>
    <d v="2024-05-09T00:00:00"/>
    <x v="1"/>
    <x v="9"/>
    <x v="5"/>
    <d v="1899-12-30T05:54:00"/>
    <x v="6"/>
    <n v="265"/>
    <n v="482"/>
    <n v="13"/>
    <n v="103"/>
    <n v="1"/>
    <n v="0"/>
    <n v="0"/>
    <n v="108"/>
    <n v="1"/>
  </r>
  <r>
    <s v="May 08 2024 5:48 am"/>
    <d v="2024-05-08T00:00:00"/>
    <x v="1"/>
    <x v="9"/>
    <x v="0"/>
    <d v="1899-12-30T05:48:00"/>
    <x v="6"/>
    <n v="264"/>
    <n v="481"/>
    <n v="5"/>
    <n v="71"/>
    <n v="1"/>
    <n v="2"/>
    <n v="0"/>
    <n v="80"/>
    <n v="5"/>
  </r>
  <r>
    <s v="May 07 2024 6:55 am"/>
    <d v="2024-05-07T00:00:00"/>
    <x v="1"/>
    <x v="9"/>
    <x v="1"/>
    <d v="1899-12-30T06:55:00"/>
    <x v="12"/>
    <n v="263"/>
    <n v="476"/>
    <n v="12"/>
    <n v="152"/>
    <n v="1"/>
    <n v="1"/>
    <n v="3"/>
    <n v="171"/>
    <n v="3"/>
  </r>
  <r>
    <s v="May 06 2024 5:10 am"/>
    <d v="2024-05-06T00:00:00"/>
    <x v="1"/>
    <x v="9"/>
    <x v="2"/>
    <d v="1899-12-30T05:10:00"/>
    <x v="6"/>
    <n v="262"/>
    <n v="473"/>
    <n v="14"/>
    <n v="541"/>
    <n v="2"/>
    <n v="1"/>
    <n v="1"/>
    <n v="594"/>
    <n v="-1"/>
  </r>
  <r>
    <s v="May 05 2024 6:59 am"/>
    <d v="2024-05-05T00:00:00"/>
    <x v="1"/>
    <x v="9"/>
    <x v="6"/>
    <d v="1899-12-30T06:59:00"/>
    <x v="12"/>
    <n v="261"/>
    <n v="474"/>
    <n v="6304"/>
    <n v="55259"/>
    <n v="91"/>
    <n v="2389"/>
    <n v="831"/>
    <n v="59330"/>
    <n v="3"/>
  </r>
  <r>
    <s v="May 04 2024 5:52 am"/>
    <d v="2024-05-04T00:00:00"/>
    <x v="1"/>
    <x v="9"/>
    <x v="3"/>
    <d v="1899-12-30T05:52:00"/>
    <x v="6"/>
    <n v="260"/>
    <n v="471"/>
    <n v="5"/>
    <n v="179"/>
    <n v="1"/>
    <n v="2"/>
    <n v="1"/>
    <n v="197"/>
    <n v="1"/>
  </r>
  <r>
    <s v="May 03 2024 6:04 am"/>
    <d v="2024-05-03T00:00:00"/>
    <x v="1"/>
    <x v="9"/>
    <x v="4"/>
    <d v="1899-12-30T06:04:00"/>
    <x v="12"/>
    <n v="259"/>
    <n v="470"/>
    <n v="9"/>
    <n v="115"/>
    <n v="1"/>
    <n v="0"/>
    <n v="1"/>
    <n v="128"/>
    <n v="1"/>
  </r>
  <r>
    <s v="May 02 2024 7:08 am"/>
    <d v="2024-05-02T00:00:00"/>
    <x v="1"/>
    <x v="9"/>
    <x v="5"/>
    <d v="1899-12-30T07:08:00"/>
    <x v="3"/>
    <n v="258"/>
    <n v="469"/>
    <n v="4"/>
    <n v="142"/>
    <n v="1"/>
    <n v="1"/>
    <n v="0"/>
    <n v="151"/>
    <n v="1"/>
  </r>
  <r>
    <s v="May 01 2024 6:32 am"/>
    <d v="2024-05-01T00:00:00"/>
    <x v="1"/>
    <x v="9"/>
    <x v="0"/>
    <d v="1899-12-30T06:32:00"/>
    <x v="12"/>
    <n v="257"/>
    <n v="468"/>
    <n v="7"/>
    <n v="137"/>
    <n v="2"/>
    <n v="1"/>
    <n v="1"/>
    <n v="154"/>
    <n v="3"/>
  </r>
  <r>
    <s v="Apr 30 2024 5:49 am"/>
    <d v="2024-04-30T00:00:00"/>
    <x v="1"/>
    <x v="10"/>
    <x v="1"/>
    <d v="1899-12-30T05:49:00"/>
    <x v="6"/>
    <n v="256"/>
    <n v="465"/>
    <n v="6"/>
    <n v="111"/>
    <n v="1"/>
    <n v="0"/>
    <n v="1"/>
    <n v="119"/>
    <n v="2"/>
  </r>
  <r>
    <s v="Apr 29 2024 6:46 am"/>
    <d v="2024-04-29T00:00:00"/>
    <x v="1"/>
    <x v="10"/>
    <x v="2"/>
    <d v="1899-12-30T06:46:00"/>
    <x v="12"/>
    <n v="255"/>
    <n v="463"/>
    <n v="11"/>
    <n v="142"/>
    <n v="0"/>
    <n v="0"/>
    <n v="1"/>
    <n v="155"/>
    <n v="2"/>
  </r>
  <r>
    <s v="Apr 28 2024 6:41 am"/>
    <d v="2024-04-28T00:00:00"/>
    <x v="1"/>
    <x v="10"/>
    <x v="6"/>
    <d v="1899-12-30T06:41:00"/>
    <x v="12"/>
    <n v="254"/>
    <n v="461"/>
    <n v="19"/>
    <n v="697"/>
    <n v="1"/>
    <n v="7"/>
    <n v="6"/>
    <n v="714"/>
    <n v="4"/>
  </r>
  <r>
    <s v="Apr 27 2024 5:36 am"/>
    <d v="2024-04-27T00:00:00"/>
    <x v="1"/>
    <x v="10"/>
    <x v="3"/>
    <d v="1899-12-30T05:36:00"/>
    <x v="6"/>
    <n v="253"/>
    <n v="457"/>
    <n v="21"/>
    <n v="318"/>
    <n v="1"/>
    <n v="5"/>
    <n v="0"/>
    <n v="325"/>
    <n v="1"/>
  </r>
  <r>
    <s v="Apr 26 2024 5:44 am"/>
    <d v="2024-04-26T00:00:00"/>
    <x v="1"/>
    <x v="10"/>
    <x v="4"/>
    <d v="1899-12-30T05:44:00"/>
    <x v="6"/>
    <n v="252"/>
    <n v="456"/>
    <n v="9"/>
    <n v="123"/>
    <n v="1"/>
    <n v="0"/>
    <n v="1"/>
    <n v="122"/>
    <n v="3"/>
  </r>
  <r>
    <s v="Apr 25 2024 5:09 am"/>
    <d v="2024-04-25T00:00:00"/>
    <x v="1"/>
    <x v="10"/>
    <x v="5"/>
    <d v="1899-12-30T05:09:00"/>
    <x v="6"/>
    <n v="251"/>
    <n v="453"/>
    <n v="12"/>
    <n v="122"/>
    <n v="1"/>
    <n v="14"/>
    <n v="0"/>
    <n v="133"/>
    <n v="1"/>
  </r>
  <r>
    <s v="Apr 24 2024 8:14 am"/>
    <d v="2024-04-24T00:00:00"/>
    <x v="1"/>
    <x v="10"/>
    <x v="0"/>
    <d v="1899-12-30T08:14:00"/>
    <x v="19"/>
    <n v="250"/>
    <n v="452"/>
    <n v="3"/>
    <n v="109"/>
    <n v="1"/>
    <n v="1"/>
    <n v="0"/>
    <n v="112"/>
    <n v="0"/>
  </r>
  <r>
    <s v="Apr 23 2024 9:44 am"/>
    <d v="2024-04-23T00:00:00"/>
    <x v="1"/>
    <x v="10"/>
    <x v="1"/>
    <d v="1899-12-30T09:44:00"/>
    <x v="17"/>
    <n v="249"/>
    <n v="452"/>
    <n v="29"/>
    <n v="937"/>
    <n v="1"/>
    <n v="7"/>
    <n v="5"/>
    <n v="942"/>
    <n v="2"/>
  </r>
  <r>
    <s v="Apr 22 2024 8:22 am"/>
    <d v="2024-04-22T00:00:00"/>
    <x v="1"/>
    <x v="10"/>
    <x v="2"/>
    <d v="1899-12-30T08:22:00"/>
    <x v="19"/>
    <n v="248"/>
    <n v="450"/>
    <n v="19"/>
    <n v="254"/>
    <n v="4"/>
    <n v="4"/>
    <n v="2"/>
    <n v="264"/>
    <n v="-1"/>
  </r>
  <r>
    <s v="Apr 21 2024 4:45 am"/>
    <d v="2024-04-21T00:00:00"/>
    <x v="1"/>
    <x v="10"/>
    <x v="6"/>
    <d v="1899-12-30T04:45:00"/>
    <x v="14"/>
    <n v="247"/>
    <n v="451"/>
    <n v="9"/>
    <n v="150"/>
    <n v="1"/>
    <n v="0"/>
    <n v="1"/>
    <n v="147"/>
    <n v="1"/>
  </r>
  <r>
    <s v="Apr 20 2024 5:36 am"/>
    <d v="2024-04-20T00:00:00"/>
    <x v="1"/>
    <x v="10"/>
    <x v="3"/>
    <d v="1899-12-30T05:36:00"/>
    <x v="6"/>
    <n v="246"/>
    <n v="450"/>
    <n v="5"/>
    <n v="125"/>
    <n v="1"/>
    <n v="1"/>
    <n v="0"/>
    <n v="131"/>
    <n v="3"/>
  </r>
  <r>
    <s v="Apr 19 2024 5:41 am"/>
    <d v="2024-04-19T00:00:00"/>
    <x v="1"/>
    <x v="10"/>
    <x v="4"/>
    <d v="1899-12-30T05:41:00"/>
    <x v="6"/>
    <n v="245"/>
    <n v="447"/>
    <n v="9"/>
    <n v="134"/>
    <n v="1"/>
    <n v="0"/>
    <n v="1"/>
    <n v="135"/>
    <n v="8"/>
  </r>
  <r>
    <s v="Apr 18 2024 6:13 am"/>
    <d v="2024-04-18T00:00:00"/>
    <x v="1"/>
    <x v="10"/>
    <x v="5"/>
    <d v="1899-12-30T06:13:00"/>
    <x v="12"/>
    <n v="244"/>
    <n v="439"/>
    <n v="5"/>
    <n v="104"/>
    <n v="1"/>
    <n v="0"/>
    <n v="0"/>
    <n v="109"/>
    <n v="3"/>
  </r>
  <r>
    <s v="Apr 17 2024 9:05 am"/>
    <d v="2024-04-17T00:00:00"/>
    <x v="1"/>
    <x v="10"/>
    <x v="0"/>
    <d v="1899-12-30T09:05:00"/>
    <x v="17"/>
    <n v="243"/>
    <n v="436"/>
    <n v="3"/>
    <n v="131"/>
    <n v="1"/>
    <n v="0"/>
    <n v="2"/>
    <n v="138"/>
    <n v="6"/>
  </r>
  <r>
    <s v="Apr 16 2024 4:50 am"/>
    <d v="2024-04-16T00:00:00"/>
    <x v="1"/>
    <x v="10"/>
    <x v="1"/>
    <d v="1899-12-30T04:50:00"/>
    <x v="14"/>
    <n v="242"/>
    <n v="430"/>
    <n v="78"/>
    <n v="1232"/>
    <n v="1"/>
    <n v="7"/>
    <n v="20"/>
    <n v="1241"/>
    <n v="8"/>
  </r>
  <r>
    <s v="Apr 15 2024 5:57 am"/>
    <d v="2024-04-15T00:00:00"/>
    <x v="1"/>
    <x v="10"/>
    <x v="2"/>
    <d v="1899-12-30T05:57:00"/>
    <x v="6"/>
    <n v="241"/>
    <n v="422"/>
    <n v="9"/>
    <n v="219"/>
    <n v="1"/>
    <n v="5"/>
    <n v="10"/>
    <n v="227"/>
    <n v="8"/>
  </r>
  <r>
    <s v="Apr 14 2024 6:11 am"/>
    <d v="2024-04-14T00:00:00"/>
    <x v="1"/>
    <x v="10"/>
    <x v="6"/>
    <d v="1899-12-30T06:11:00"/>
    <x v="12"/>
    <n v="240"/>
    <n v="414"/>
    <n v="9"/>
    <n v="309"/>
    <n v="1"/>
    <n v="2"/>
    <n v="0"/>
    <n v="297"/>
    <n v="18"/>
  </r>
  <r>
    <s v="Apr 13 2024 5:21 am"/>
    <d v="2024-04-13T00:00:00"/>
    <x v="1"/>
    <x v="10"/>
    <x v="3"/>
    <d v="1899-12-30T05:21:00"/>
    <x v="6"/>
    <n v="239"/>
    <n v="396"/>
    <n v="20"/>
    <n v="262"/>
    <n v="1"/>
    <n v="12"/>
    <n v="8"/>
    <n v="303"/>
    <n v="9"/>
  </r>
  <r>
    <s v="Apr 12 2024 4:58 am"/>
    <d v="2024-04-12T00:00:00"/>
    <x v="1"/>
    <x v="10"/>
    <x v="4"/>
    <d v="1899-12-30T04:58:00"/>
    <x v="14"/>
    <n v="238"/>
    <n v="387"/>
    <n v="16"/>
    <n v="190"/>
    <n v="1"/>
    <n v="7"/>
    <n v="4"/>
    <n v="185"/>
    <n v="7"/>
  </r>
  <r>
    <s v="Apr 11 2024 6:05 am"/>
    <d v="2024-04-11T00:00:00"/>
    <x v="1"/>
    <x v="10"/>
    <x v="5"/>
    <d v="1899-12-30T06:05:00"/>
    <x v="12"/>
    <n v="237"/>
    <n v="380"/>
    <n v="119"/>
    <n v="2591"/>
    <n v="7"/>
    <n v="73"/>
    <n v="90"/>
    <n v="2784"/>
    <n v="11"/>
  </r>
  <r>
    <s v="Apr 10 2024 6:37 am"/>
    <d v="2024-04-10T00:00:00"/>
    <x v="1"/>
    <x v="10"/>
    <x v="0"/>
    <d v="1899-12-30T06:37:00"/>
    <x v="12"/>
    <n v="236"/>
    <n v="369"/>
    <n v="14"/>
    <n v="252"/>
    <n v="2"/>
    <n v="4"/>
    <n v="5"/>
    <n v="259"/>
    <n v="9"/>
  </r>
  <r>
    <s v="Apr 09 2024 5:58 am"/>
    <d v="2024-04-09T00:00:00"/>
    <x v="1"/>
    <x v="10"/>
    <x v="1"/>
    <d v="1899-12-30T05:58:00"/>
    <x v="6"/>
    <n v="235"/>
    <n v="360"/>
    <n v="4"/>
    <n v="325"/>
    <n v="1"/>
    <n v="0"/>
    <n v="4"/>
    <n v="316"/>
    <n v="5"/>
  </r>
  <r>
    <s v="Apr 08 2024 4:53 am"/>
    <d v="2024-04-08T00:00:00"/>
    <x v="1"/>
    <x v="10"/>
    <x v="2"/>
    <d v="1899-12-30T04:53:00"/>
    <x v="14"/>
    <n v="234"/>
    <n v="355"/>
    <n v="155"/>
    <n v="2118"/>
    <n v="2"/>
    <n v="57"/>
    <n v="16"/>
    <n v="2162"/>
    <n v="5"/>
  </r>
  <r>
    <s v="Apr 07 2024 5:09 am"/>
    <d v="2024-04-07T00:00:00"/>
    <x v="1"/>
    <x v="10"/>
    <x v="6"/>
    <d v="1899-12-30T05:09:00"/>
    <x v="6"/>
    <n v="233"/>
    <n v="350"/>
    <n v="7"/>
    <n v="182"/>
    <n v="1"/>
    <n v="0"/>
    <n v="0"/>
    <n v="178"/>
    <n v="6"/>
  </r>
  <r>
    <s v="Apr 06 2024 9:09 am"/>
    <d v="2024-04-06T00:00:00"/>
    <x v="1"/>
    <x v="10"/>
    <x v="3"/>
    <d v="1899-12-30T09:09:00"/>
    <x v="17"/>
    <n v="232"/>
    <n v="344"/>
    <n v="8"/>
    <n v="146"/>
    <n v="2"/>
    <n v="8"/>
    <n v="0"/>
    <n v="147"/>
    <n v="15"/>
  </r>
  <r>
    <s v="Apr 05 2024 4:37 am"/>
    <d v="2024-04-05T00:00:00"/>
    <x v="1"/>
    <x v="10"/>
    <x v="4"/>
    <d v="1899-12-30T04:37:00"/>
    <x v="14"/>
    <n v="231"/>
    <n v="329"/>
    <n v="10"/>
    <n v="169"/>
    <n v="1"/>
    <n v="0"/>
    <n v="2"/>
    <n v="161"/>
    <n v="12"/>
  </r>
  <r>
    <s v="Apr 04 2024 5:26 am"/>
    <d v="2024-04-04T00:00:00"/>
    <x v="1"/>
    <x v="10"/>
    <x v="5"/>
    <d v="1899-12-30T05:26:00"/>
    <x v="6"/>
    <n v="230"/>
    <n v="317"/>
    <n v="5"/>
    <n v="242"/>
    <n v="1"/>
    <n v="0"/>
    <n v="0"/>
    <n v="242"/>
    <n v="12"/>
  </r>
  <r>
    <s v="Apr 03 2024 5:14 am"/>
    <d v="2024-04-03T00:00:00"/>
    <x v="1"/>
    <x v="10"/>
    <x v="0"/>
    <d v="1899-12-30T05:14:00"/>
    <x v="6"/>
    <n v="229"/>
    <n v="305"/>
    <n v="332"/>
    <n v="6793"/>
    <n v="8"/>
    <n v="152"/>
    <n v="180"/>
    <n v="7010"/>
    <n v="13"/>
  </r>
  <r>
    <s v="Apr 02 2024 6:32 am"/>
    <d v="2024-04-02T00:00:00"/>
    <x v="1"/>
    <x v="10"/>
    <x v="1"/>
    <d v="1899-12-30T06:32:00"/>
    <x v="12"/>
    <n v="228"/>
    <n v="292"/>
    <n v="4"/>
    <n v="262"/>
    <n v="2"/>
    <n v="0"/>
    <n v="1"/>
    <n v="260"/>
    <n v="24"/>
  </r>
  <r>
    <s v="Apr 01 2024 5:57 am"/>
    <d v="2024-04-01T00:00:00"/>
    <x v="1"/>
    <x v="10"/>
    <x v="2"/>
    <d v="1899-12-30T05:57:00"/>
    <x v="6"/>
    <n v="227"/>
    <n v="268"/>
    <n v="13"/>
    <n v="272"/>
    <n v="1"/>
    <n v="1"/>
    <n v="2"/>
    <n v="274"/>
    <n v="11"/>
  </r>
  <r>
    <s v="Mar 31 2024 5:13 am"/>
    <d v="2024-03-31T00:00:00"/>
    <x v="1"/>
    <x v="11"/>
    <x v="6"/>
    <d v="1899-12-30T05:13:00"/>
    <x v="6"/>
    <n v="226"/>
    <n v="257"/>
    <n v="103"/>
    <n v="2559"/>
    <n v="3"/>
    <n v="173"/>
    <n v="19"/>
    <n v="2534"/>
    <n v="15"/>
  </r>
  <r>
    <s v="Mar 30 2024 7:19 am"/>
    <d v="2024-03-30T00:00:00"/>
    <x v="1"/>
    <x v="11"/>
    <x v="3"/>
    <d v="1899-12-30T07:19:00"/>
    <x v="3"/>
    <n v="225"/>
    <n v="242"/>
    <n v="17"/>
    <n v="573"/>
    <n v="1"/>
    <n v="0"/>
    <n v="5"/>
    <n v="538"/>
    <n v="28"/>
  </r>
  <r>
    <s v="Mar 29 2024 4:02 am"/>
    <d v="2024-03-29T00:00:00"/>
    <x v="1"/>
    <x v="11"/>
    <x v="4"/>
    <d v="1899-12-30T04:02:00"/>
    <x v="14"/>
    <n v="224"/>
    <n v="214"/>
    <n v="115"/>
    <n v="1758"/>
    <n v="2"/>
    <n v="22"/>
    <n v="4"/>
    <n v="1745"/>
    <n v="21"/>
  </r>
  <r>
    <s v="Mar 28 2024 5:10 am"/>
    <d v="2024-03-28T00:00:00"/>
    <x v="1"/>
    <x v="11"/>
    <x v="5"/>
    <d v="1899-12-30T05:10:00"/>
    <x v="6"/>
    <n v="223"/>
    <n v="193"/>
    <n v="37"/>
    <n v="883"/>
    <n v="3"/>
    <n v="1"/>
    <n v="4"/>
    <n v="873"/>
    <n v="1"/>
  </r>
  <r>
    <s v="Mar 28 2024 2:54 am"/>
    <d v="2024-03-28T00:00:00"/>
    <x v="1"/>
    <x v="11"/>
    <x v="5"/>
    <d v="1899-12-30T02:54:00"/>
    <x v="20"/>
    <n v="222"/>
    <n v="192"/>
    <n v="4"/>
    <n v="406"/>
    <n v="3"/>
    <n v="0"/>
    <n v="5"/>
    <n v="402"/>
    <n v="7"/>
  </r>
  <r>
    <s v="Mar 27 2024 5:40 am"/>
    <d v="2024-03-27T00:00:00"/>
    <x v="1"/>
    <x v="11"/>
    <x v="0"/>
    <d v="1899-12-30T05:40:00"/>
    <x v="6"/>
    <n v="221"/>
    <n v="185"/>
    <n v="146"/>
    <n v="1770"/>
    <n v="1"/>
    <n v="10"/>
    <n v="14"/>
    <n v="1739"/>
    <n v="4"/>
  </r>
  <r>
    <s v="Mar 26 2024 4:45 am"/>
    <d v="2024-03-26T00:00:00"/>
    <x v="1"/>
    <x v="11"/>
    <x v="1"/>
    <d v="1899-12-30T04:45:00"/>
    <x v="14"/>
    <n v="220"/>
    <n v="181"/>
    <n v="77"/>
    <n v="2505"/>
    <n v="2"/>
    <n v="1"/>
    <n v="6"/>
    <n v="2462"/>
    <n v="8"/>
  </r>
  <r>
    <s v="Mar 25 2024 6:06 am"/>
    <d v="2024-03-25T00:00:00"/>
    <x v="1"/>
    <x v="11"/>
    <x v="2"/>
    <d v="1899-12-30T06:06:00"/>
    <x v="12"/>
    <n v="219"/>
    <n v="173"/>
    <n v="20"/>
    <n v="292"/>
    <n v="1"/>
    <n v="2"/>
    <n v="1"/>
    <n v="288"/>
    <n v="10"/>
  </r>
  <r>
    <s v="Mar 24 2024 5:46 am"/>
    <d v="2024-03-24T00:00:00"/>
    <x v="1"/>
    <x v="11"/>
    <x v="6"/>
    <d v="1899-12-30T05:46:00"/>
    <x v="6"/>
    <n v="218"/>
    <n v="163"/>
    <n v="3011"/>
    <n v="56349"/>
    <n v="60"/>
    <n v="2261"/>
    <n v="1185"/>
    <n v="59530"/>
    <n v="4"/>
  </r>
  <r>
    <s v="Mar 23 2024 4:32 am"/>
    <d v="2024-03-23T00:00:00"/>
    <x v="1"/>
    <x v="11"/>
    <x v="3"/>
    <d v="1899-12-30T04:32:00"/>
    <x v="14"/>
    <n v="217"/>
    <n v="159"/>
    <n v="125"/>
    <n v="1709"/>
    <n v="3"/>
    <n v="46"/>
    <n v="12"/>
    <n v="1739"/>
    <n v="4"/>
  </r>
  <r>
    <s v="Mar 22 2024 5:17 am"/>
    <d v="2024-03-22T00:00:00"/>
    <x v="1"/>
    <x v="11"/>
    <x v="4"/>
    <d v="1899-12-30T05:17:00"/>
    <x v="6"/>
    <n v="216"/>
    <n v="155"/>
    <n v="14"/>
    <n v="292"/>
    <n v="4"/>
    <n v="0"/>
    <n v="5"/>
    <n v="307"/>
    <n v="2"/>
  </r>
  <r>
    <s v="Mar 21 2024 9:03 am"/>
    <d v="2024-03-21T00:00:00"/>
    <x v="1"/>
    <x v="11"/>
    <x v="5"/>
    <d v="1899-12-30T09:03:00"/>
    <x v="17"/>
    <n v="215"/>
    <n v="153"/>
    <n v="178"/>
    <n v="1528"/>
    <n v="2"/>
    <n v="41"/>
    <n v="13"/>
    <n v="1583"/>
    <n v="8"/>
  </r>
  <r>
    <s v="Mar 20 2024 4:52 am"/>
    <d v="2024-03-20T00:00:00"/>
    <x v="1"/>
    <x v="11"/>
    <x v="0"/>
    <d v="1899-12-30T04:52:00"/>
    <x v="14"/>
    <n v="214"/>
    <n v="145"/>
    <n v="100"/>
    <n v="2685"/>
    <n v="9"/>
    <n v="39"/>
    <n v="34"/>
    <n v="2723"/>
    <n v="2"/>
  </r>
  <r>
    <s v="Mar 19 2024 4:22 am"/>
    <d v="2024-03-19T00:00:00"/>
    <x v="1"/>
    <x v="11"/>
    <x v="1"/>
    <d v="1899-12-30T04:22:00"/>
    <x v="14"/>
    <n v="213"/>
    <n v="143"/>
    <n v="72"/>
    <n v="1295"/>
    <n v="1"/>
    <n v="3"/>
    <n v="3"/>
    <n v="1296"/>
    <n v="2"/>
  </r>
  <r>
    <s v="Mar 18 2024 6:20 am"/>
    <d v="2024-03-18T00:00:00"/>
    <x v="1"/>
    <x v="11"/>
    <x v="2"/>
    <d v="1899-12-30T06:20:00"/>
    <x v="12"/>
    <n v="212"/>
    <n v="141"/>
    <n v="89336"/>
    <n v="638798"/>
    <n v="744"/>
    <n v="40416"/>
    <n v="19663"/>
    <n v="767087"/>
    <n v="0"/>
  </r>
  <r>
    <s v="Mar 17 2024 6:41 am"/>
    <d v="2024-03-17T00:00:00"/>
    <x v="1"/>
    <x v="11"/>
    <x v="6"/>
    <d v="1899-12-30T06:41:00"/>
    <x v="12"/>
    <n v="211"/>
    <n v="141"/>
    <n v="26"/>
    <n v="534"/>
    <n v="1"/>
    <n v="7"/>
    <n v="3"/>
    <n v="534"/>
    <n v="0"/>
  </r>
  <r>
    <s v="Mar 16 2024 7:18 am"/>
    <d v="2024-03-16T00:00:00"/>
    <x v="1"/>
    <x v="11"/>
    <x v="3"/>
    <d v="1899-12-30T07:18:00"/>
    <x v="3"/>
    <n v="210"/>
    <n v="141"/>
    <n v="5"/>
    <n v="190"/>
    <n v="1"/>
    <n v="1"/>
    <n v="0"/>
    <n v="193"/>
    <n v="0"/>
  </r>
  <r>
    <s v="Mar 15 2024 5:11 am"/>
    <d v="2024-03-15T00:00:00"/>
    <x v="1"/>
    <x v="11"/>
    <x v="4"/>
    <d v="1899-12-30T05:11:00"/>
    <x v="6"/>
    <n v="209"/>
    <n v="141"/>
    <n v="10"/>
    <n v="214"/>
    <n v="2"/>
    <n v="2"/>
    <n v="1"/>
    <n v="211"/>
    <n v="0"/>
  </r>
  <r>
    <s v="Mar 14 2024 4:41 am"/>
    <d v="2024-03-14T00:00:00"/>
    <x v="1"/>
    <x v="11"/>
    <x v="5"/>
    <d v="1899-12-30T04:41:00"/>
    <x v="14"/>
    <n v="208"/>
    <n v="141"/>
    <n v="7"/>
    <n v="295"/>
    <n v="1"/>
    <n v="0"/>
    <n v="1"/>
    <n v="293"/>
    <n v="2"/>
  </r>
  <r>
    <s v="Mar 13 2024 5:12 am"/>
    <d v="2024-03-13T00:00:00"/>
    <x v="1"/>
    <x v="11"/>
    <x v="0"/>
    <d v="1899-12-30T05:12:00"/>
    <x v="6"/>
    <n v="207"/>
    <n v="139"/>
    <n v="273"/>
    <n v="3595"/>
    <n v="5"/>
    <n v="91"/>
    <n v="113"/>
    <n v="3775"/>
    <n v="1"/>
  </r>
  <r>
    <s v="Mar 12 2024 4:44 am"/>
    <d v="2024-03-12T00:00:00"/>
    <x v="1"/>
    <x v="11"/>
    <x v="1"/>
    <d v="1899-12-30T04:44:00"/>
    <x v="14"/>
    <n v="206"/>
    <n v="138"/>
    <n v="10"/>
    <n v="280"/>
    <n v="1"/>
    <n v="0"/>
    <n v="0"/>
    <n v="280"/>
    <n v="1"/>
  </r>
  <r>
    <s v="Mar 11 2024 4:42 am"/>
    <d v="2024-03-11T00:00:00"/>
    <x v="1"/>
    <x v="11"/>
    <x v="2"/>
    <d v="1899-12-30T04:42:00"/>
    <x v="14"/>
    <n v="205"/>
    <n v="137"/>
    <n v="8"/>
    <n v="141"/>
    <n v="1"/>
    <n v="2"/>
    <n v="2"/>
    <n v="141"/>
    <n v="1"/>
  </r>
  <r>
    <s v="Mar 10 2024 5:04 am"/>
    <d v="2024-03-10T00:00:00"/>
    <x v="1"/>
    <x v="11"/>
    <x v="6"/>
    <d v="1899-12-30T05:04:00"/>
    <x v="6"/>
    <n v="204"/>
    <n v="136"/>
    <n v="7"/>
    <n v="126"/>
    <n v="1"/>
    <n v="14"/>
    <n v="0"/>
    <n v="127"/>
    <n v="1"/>
  </r>
  <r>
    <s v="Mar 09 2024 3:32 am"/>
    <d v="2024-03-09T00:00:00"/>
    <x v="1"/>
    <x v="11"/>
    <x v="3"/>
    <d v="1899-12-30T03:32:00"/>
    <x v="16"/>
    <n v="203"/>
    <n v="135"/>
    <n v="43"/>
    <n v="465"/>
    <n v="1"/>
    <n v="5"/>
    <n v="4"/>
    <n v="455"/>
    <n v="0"/>
  </r>
  <r>
    <s v="Mar 08 2024 6:29 am"/>
    <d v="2024-03-08T00:00:00"/>
    <x v="1"/>
    <x v="11"/>
    <x v="4"/>
    <d v="1899-12-30T06:29:00"/>
    <x v="12"/>
    <n v="202"/>
    <n v="135"/>
    <n v="11"/>
    <n v="277"/>
    <n v="1"/>
    <n v="0"/>
    <n v="2"/>
    <n v="273"/>
    <n v="1"/>
  </r>
  <r>
    <s v="Mar 07 2024 5:19 am"/>
    <d v="2024-03-07T00:00:00"/>
    <x v="1"/>
    <x v="11"/>
    <x v="5"/>
    <d v="1899-12-30T05:19:00"/>
    <x v="6"/>
    <n v="201"/>
    <n v="134"/>
    <n v="2"/>
    <n v="94"/>
    <n v="1"/>
    <n v="0"/>
    <n v="0"/>
    <n v="95"/>
    <n v="2"/>
  </r>
  <r>
    <s v="Mar 06 2024 4:02 am"/>
    <d v="2024-03-06T00:00:00"/>
    <x v="1"/>
    <x v="11"/>
    <x v="0"/>
    <d v="1899-12-30T04:02:00"/>
    <x v="14"/>
    <n v="200"/>
    <n v="132"/>
    <n v="2"/>
    <n v="201"/>
    <n v="1"/>
    <n v="0"/>
    <n v="0"/>
    <n v="197"/>
    <n v="0"/>
  </r>
  <r>
    <s v="Mar 05 2024 6:26 am"/>
    <d v="2024-03-05T00:00:00"/>
    <x v="1"/>
    <x v="11"/>
    <x v="1"/>
    <d v="1899-12-30T06:26:00"/>
    <x v="12"/>
    <n v="199"/>
    <n v="132"/>
    <n v="6"/>
    <n v="115"/>
    <n v="1"/>
    <n v="4"/>
    <n v="0"/>
    <n v="118"/>
    <n v="1"/>
  </r>
  <r>
    <s v="Mar 04 2024 3:47 am"/>
    <d v="2024-03-04T00:00:00"/>
    <x v="1"/>
    <x v="11"/>
    <x v="2"/>
    <d v="1899-12-30T03:47:00"/>
    <x v="16"/>
    <n v="198"/>
    <n v="131"/>
    <n v="21"/>
    <n v="377"/>
    <n v="3"/>
    <n v="2"/>
    <n v="5"/>
    <n v="399"/>
    <n v="-1"/>
  </r>
  <r>
    <s v="Mar 03 2024 3:15 am"/>
    <d v="2024-03-03T00:00:00"/>
    <x v="1"/>
    <x v="11"/>
    <x v="6"/>
    <d v="1899-12-30T03:15:00"/>
    <x v="16"/>
    <n v="197"/>
    <n v="132"/>
    <n v="9"/>
    <n v="93"/>
    <n v="1"/>
    <n v="0"/>
    <n v="0"/>
    <n v="96"/>
    <n v="1"/>
  </r>
  <r>
    <s v="Mar 02 2024 6:10 am"/>
    <d v="2024-03-02T00:00:00"/>
    <x v="1"/>
    <x v="11"/>
    <x v="3"/>
    <d v="1899-12-30T06:10:00"/>
    <x v="12"/>
    <n v="196"/>
    <n v="131"/>
    <n v="5"/>
    <n v="85"/>
    <n v="1"/>
    <n v="0"/>
    <n v="0"/>
    <n v="84"/>
    <n v="0"/>
  </r>
  <r>
    <s v="Mar 01 2024 4:59 am"/>
    <d v="2024-03-01T00:00:00"/>
    <x v="1"/>
    <x v="11"/>
    <x v="4"/>
    <d v="1899-12-30T04:59:00"/>
    <x v="14"/>
    <n v="195"/>
    <n v="131"/>
    <n v="1"/>
    <n v="81"/>
    <n v="1"/>
    <n v="0"/>
    <n v="0"/>
    <n v="78"/>
    <n v="0"/>
  </r>
  <r>
    <s v="Feb 29 2024 4:06 am"/>
    <d v="2024-02-29T00:00:00"/>
    <x v="1"/>
    <x v="0"/>
    <x v="5"/>
    <d v="1899-12-30T04:06:00"/>
    <x v="14"/>
    <n v="194"/>
    <n v="131"/>
    <n v="2"/>
    <n v="81"/>
    <n v="1"/>
    <n v="0"/>
    <n v="0"/>
    <n v="78"/>
    <n v="2"/>
  </r>
  <r>
    <s v="Feb 28 2024 4:55 am"/>
    <d v="2024-02-28T00:00:00"/>
    <x v="1"/>
    <x v="0"/>
    <x v="0"/>
    <d v="1899-12-30T04:55:00"/>
    <x v="14"/>
    <n v="193"/>
    <n v="129"/>
    <n v="350"/>
    <n v="9308"/>
    <n v="12"/>
    <n v="373"/>
    <n v="45"/>
    <n v="9411"/>
    <n v="-2"/>
  </r>
  <r>
    <s v="Feb 27 2024 4:40 am"/>
    <d v="2024-02-27T00:00:00"/>
    <x v="1"/>
    <x v="0"/>
    <x v="1"/>
    <d v="1899-12-30T04:40:00"/>
    <x v="14"/>
    <n v="192"/>
    <n v="131"/>
    <n v="128"/>
    <n v="1333"/>
    <n v="1"/>
    <n v="55"/>
    <n v="13"/>
    <n v="1353"/>
    <n v="0"/>
  </r>
  <r>
    <s v="Feb 26 2024 4:24 am"/>
    <d v="2024-02-26T00:00:00"/>
    <x v="1"/>
    <x v="0"/>
    <x v="2"/>
    <d v="1899-12-30T04:24:00"/>
    <x v="14"/>
    <n v="191"/>
    <n v="131"/>
    <n v="3"/>
    <n v="78"/>
    <n v="1"/>
    <n v="0"/>
    <n v="1"/>
    <n v="78"/>
    <n v="1"/>
  </r>
  <r>
    <s v="Feb 25 2024 4:50 am"/>
    <d v="2024-02-25T00:00:00"/>
    <x v="1"/>
    <x v="0"/>
    <x v="6"/>
    <d v="1899-12-30T04:50:00"/>
    <x v="14"/>
    <n v="190"/>
    <n v="130"/>
    <n v="2"/>
    <n v="69"/>
    <n v="1"/>
    <n v="7"/>
    <n v="0"/>
    <n v="71"/>
    <n v="0"/>
  </r>
  <r>
    <s v="Feb 24 2024 6:26 am"/>
    <d v="2024-02-24T00:00:00"/>
    <x v="1"/>
    <x v="0"/>
    <x v="3"/>
    <d v="1899-12-30T06:26:00"/>
    <x v="12"/>
    <n v="189"/>
    <n v="130"/>
    <n v="39"/>
    <n v="650"/>
    <n v="2"/>
    <n v="1"/>
    <n v="2"/>
    <n v="653"/>
    <n v="5"/>
  </r>
  <r>
    <s v="Feb 23 2024 4:38 am"/>
    <d v="2024-02-23T00:00:00"/>
    <x v="1"/>
    <x v="0"/>
    <x v="4"/>
    <d v="1899-12-30T04:38:00"/>
    <x v="14"/>
    <n v="188"/>
    <n v="125"/>
    <n v="5"/>
    <n v="62"/>
    <n v="1"/>
    <n v="0"/>
    <n v="0"/>
    <n v="62"/>
    <n v="0"/>
  </r>
  <r>
    <s v="Feb 22 2024 4:31 am"/>
    <d v="2024-02-22T00:00:00"/>
    <x v="1"/>
    <x v="0"/>
    <x v="5"/>
    <d v="1899-12-30T04:31:00"/>
    <x v="14"/>
    <n v="187"/>
    <n v="125"/>
    <n v="1"/>
    <n v="55"/>
    <n v="2"/>
    <n v="0"/>
    <n v="0"/>
    <n v="57"/>
    <n v="1"/>
  </r>
  <r>
    <s v="Feb 21 2024 3:00 am"/>
    <d v="2024-02-21T00:00:00"/>
    <x v="1"/>
    <x v="0"/>
    <x v="0"/>
    <d v="1899-12-30T03:00:00"/>
    <x v="16"/>
    <n v="186"/>
    <n v="124"/>
    <n v="5"/>
    <n v="55"/>
    <n v="1"/>
    <n v="0"/>
    <n v="0"/>
    <n v="56"/>
    <n v="-1"/>
  </r>
  <r>
    <s v="Feb 20 2024 4:20 am"/>
    <d v="2024-02-20T00:00:00"/>
    <x v="1"/>
    <x v="0"/>
    <x v="1"/>
    <d v="1899-12-30T04:20:00"/>
    <x v="14"/>
    <n v="185"/>
    <n v="125"/>
    <n v="90"/>
    <n v="931"/>
    <n v="2"/>
    <n v="1"/>
    <n v="3"/>
    <n v="963"/>
    <n v="0"/>
  </r>
  <r>
    <s v="Feb 19 2024 3:14 am"/>
    <d v="2024-02-19T00:00:00"/>
    <x v="1"/>
    <x v="0"/>
    <x v="2"/>
    <d v="1899-12-30T03:14:00"/>
    <x v="16"/>
    <n v="184"/>
    <n v="125"/>
    <n v="5"/>
    <n v="57"/>
    <n v="1"/>
    <n v="7"/>
    <n v="0"/>
    <n v="65"/>
    <n v="0"/>
  </r>
  <r>
    <s v="Feb 18 2024 3:38 am"/>
    <d v="2024-02-18T00:00:00"/>
    <x v="1"/>
    <x v="0"/>
    <x v="6"/>
    <d v="1899-12-30T03:38:00"/>
    <x v="16"/>
    <n v="183"/>
    <n v="125"/>
    <n v="3"/>
    <n v="66"/>
    <n v="1"/>
    <n v="3"/>
    <n v="4"/>
    <n v="79"/>
    <n v="-1"/>
  </r>
  <r>
    <s v="Feb 17 2024 4:29 am"/>
    <d v="2024-02-17T00:00:00"/>
    <x v="1"/>
    <x v="0"/>
    <x v="3"/>
    <d v="1899-12-30T04:29:00"/>
    <x v="14"/>
    <n v="182"/>
    <n v="126"/>
    <n v="3487"/>
    <n v="31325"/>
    <n v="10"/>
    <n v="1051"/>
    <n v="662"/>
    <n v="33118"/>
    <n v="1"/>
  </r>
  <r>
    <s v="Feb 16 2024 3:21 am"/>
    <d v="2024-02-16T00:00:00"/>
    <x v="1"/>
    <x v="0"/>
    <x v="4"/>
    <d v="1899-12-30T03:21:00"/>
    <x v="16"/>
    <n v="181"/>
    <n v="125"/>
    <n v="121"/>
    <n v="1507"/>
    <n v="3"/>
    <n v="24"/>
    <n v="38"/>
    <n v="1593"/>
    <n v="0"/>
  </r>
  <r>
    <s v="Feb 15 2024 4:25 am"/>
    <d v="2024-02-15T00:00:00"/>
    <x v="1"/>
    <x v="0"/>
    <x v="5"/>
    <d v="1899-12-30T04:25:00"/>
    <x v="14"/>
    <n v="180"/>
    <n v="125"/>
    <n v="4"/>
    <n v="64"/>
    <n v="1"/>
    <n v="0"/>
    <n v="1"/>
    <n v="68"/>
    <n v="-2"/>
  </r>
  <r>
    <s v="Feb 14 2024 3:57 am"/>
    <d v="2024-02-14T00:00:00"/>
    <x v="1"/>
    <x v="0"/>
    <x v="0"/>
    <d v="1899-12-30T03:57:00"/>
    <x v="16"/>
    <n v="179"/>
    <n v="127"/>
    <n v="5"/>
    <n v="76"/>
    <n v="1"/>
    <n v="1"/>
    <n v="1"/>
    <n v="76"/>
    <n v="2"/>
  </r>
  <r>
    <s v="Feb 13 2024 3:38 am"/>
    <d v="2024-02-13T00:00:00"/>
    <x v="1"/>
    <x v="0"/>
    <x v="1"/>
    <d v="1899-12-30T03:38:00"/>
    <x v="16"/>
    <n v="178"/>
    <n v="125"/>
    <n v="5"/>
    <n v="82"/>
    <n v="3"/>
    <n v="0"/>
    <n v="0"/>
    <n v="84"/>
    <n v="1"/>
  </r>
  <r>
    <s v="Feb 12 2024 4:52 am"/>
    <d v="2024-02-12T00:00:00"/>
    <x v="1"/>
    <x v="0"/>
    <x v="2"/>
    <d v="1899-12-30T04:52:00"/>
    <x v="14"/>
    <n v="177"/>
    <n v="124"/>
    <n v="3"/>
    <n v="61"/>
    <n v="2"/>
    <n v="0"/>
    <n v="0"/>
    <n v="61"/>
    <n v="0"/>
  </r>
  <r>
    <s v="Feb 11 2024 3:16 am"/>
    <d v="2024-02-11T00:00:00"/>
    <x v="1"/>
    <x v="0"/>
    <x v="6"/>
    <d v="1899-12-30T03:16:00"/>
    <x v="16"/>
    <n v="176"/>
    <n v="124"/>
    <n v="4"/>
    <n v="69"/>
    <n v="1"/>
    <n v="0"/>
    <n v="0"/>
    <n v="65"/>
    <n v="0"/>
  </r>
  <r>
    <s v="Feb 10 2024 3:45 am"/>
    <d v="2024-02-10T00:00:00"/>
    <x v="1"/>
    <x v="0"/>
    <x v="3"/>
    <d v="1899-12-30T03:45:00"/>
    <x v="16"/>
    <n v="175"/>
    <n v="124"/>
    <n v="71"/>
    <n v="803"/>
    <n v="2"/>
    <n v="16"/>
    <n v="6"/>
    <n v="816"/>
    <n v="0"/>
  </r>
  <r>
    <s v="Feb 09 2024 4:05 am"/>
    <d v="2024-02-09T00:00:00"/>
    <x v="1"/>
    <x v="0"/>
    <x v="4"/>
    <d v="1899-12-30T04:05:00"/>
    <x v="14"/>
    <n v="174"/>
    <n v="124"/>
    <n v="6"/>
    <n v="54"/>
    <n v="1"/>
    <n v="2"/>
    <n v="1"/>
    <n v="54"/>
    <n v="0"/>
  </r>
  <r>
    <s v="Feb 08 2024 3:33 am"/>
    <d v="2024-02-08T00:00:00"/>
    <x v="1"/>
    <x v="0"/>
    <x v="5"/>
    <d v="1899-12-30T03:33:00"/>
    <x v="16"/>
    <n v="173"/>
    <n v="124"/>
    <n v="5"/>
    <n v="49"/>
    <n v="1"/>
    <n v="0"/>
    <n v="1"/>
    <n v="51"/>
    <n v="1"/>
  </r>
  <r>
    <s v="Feb 07 2024 2:41 am"/>
    <d v="2024-02-07T00:00:00"/>
    <x v="1"/>
    <x v="0"/>
    <x v="0"/>
    <d v="1899-12-30T02:41:00"/>
    <x v="20"/>
    <n v="172"/>
    <n v="123"/>
    <n v="7"/>
    <n v="54"/>
    <n v="1"/>
    <n v="0"/>
    <n v="0"/>
    <n v="56"/>
    <n v="1"/>
  </r>
  <r>
    <s v="Feb 06 2024 2:34 am"/>
    <d v="2024-02-06T00:00:00"/>
    <x v="1"/>
    <x v="0"/>
    <x v="1"/>
    <d v="1899-12-30T02:34:00"/>
    <x v="20"/>
    <n v="171"/>
    <n v="122"/>
    <n v="6"/>
    <n v="49"/>
    <n v="1"/>
    <n v="1"/>
    <n v="1"/>
    <n v="49"/>
    <n v="0"/>
  </r>
  <r>
    <s v="Feb 05 2024 5:40 am"/>
    <d v="2024-02-05T00:00:00"/>
    <x v="1"/>
    <x v="0"/>
    <x v="2"/>
    <d v="1899-12-30T05:40:00"/>
    <x v="6"/>
    <n v="170"/>
    <n v="122"/>
    <n v="5"/>
    <n v="50"/>
    <n v="1"/>
    <n v="2"/>
    <n v="0"/>
    <n v="53"/>
    <n v="0"/>
  </r>
  <r>
    <s v="Feb 04 2024 2:51 am"/>
    <d v="2024-02-04T00:00:00"/>
    <x v="1"/>
    <x v="0"/>
    <x v="6"/>
    <d v="1899-12-30T02:51:00"/>
    <x v="20"/>
    <n v="169"/>
    <n v="122"/>
    <n v="7"/>
    <n v="50"/>
    <n v="1"/>
    <n v="0"/>
    <n v="0"/>
    <n v="50"/>
    <n v="0"/>
  </r>
  <r>
    <s v="Feb 03 2024 3:48 am"/>
    <d v="2024-02-03T00:00:00"/>
    <x v="1"/>
    <x v="0"/>
    <x v="3"/>
    <d v="1899-12-30T03:48:00"/>
    <x v="16"/>
    <n v="168"/>
    <n v="122"/>
    <n v="4"/>
    <n v="46"/>
    <n v="1"/>
    <n v="1"/>
    <n v="0"/>
    <n v="46"/>
    <n v="1"/>
  </r>
  <r>
    <s v="Feb 02 2024 3:46 am"/>
    <d v="2024-02-02T00:00:00"/>
    <x v="1"/>
    <x v="0"/>
    <x v="4"/>
    <d v="1899-12-30T03:46:00"/>
    <x v="16"/>
    <n v="167"/>
    <n v="121"/>
    <n v="8"/>
    <n v="53"/>
    <n v="1"/>
    <n v="0"/>
    <n v="0"/>
    <n v="49"/>
    <n v="-1"/>
  </r>
  <r>
    <s v="Feb 01 2024 6:32 am"/>
    <d v="2024-02-01T00:00:00"/>
    <x v="1"/>
    <x v="0"/>
    <x v="5"/>
    <d v="1899-12-30T06:32:00"/>
    <x v="12"/>
    <n v="166"/>
    <n v="122"/>
    <n v="6"/>
    <n v="81"/>
    <n v="1"/>
    <n v="0"/>
    <n v="1"/>
    <n v="82"/>
    <n v="1"/>
  </r>
  <r>
    <s v="Jan 31 2024 2:50 am"/>
    <d v="2024-01-31T00:00:00"/>
    <x v="1"/>
    <x v="1"/>
    <x v="0"/>
    <d v="1899-12-30T02:50:00"/>
    <x v="20"/>
    <n v="165"/>
    <n v="121"/>
    <n v="8"/>
    <n v="82"/>
    <n v="1"/>
    <n v="0"/>
    <n v="0"/>
    <n v="75"/>
    <n v="0"/>
  </r>
  <r>
    <s v="Jan 30 2024 5:27 am"/>
    <d v="2024-01-30T00:00:00"/>
    <x v="1"/>
    <x v="1"/>
    <x v="1"/>
    <d v="1899-12-30T05:27:00"/>
    <x v="6"/>
    <n v="164"/>
    <n v="121"/>
    <n v="78"/>
    <n v="977"/>
    <n v="6"/>
    <n v="10"/>
    <n v="12"/>
    <n v="1024"/>
    <n v="0"/>
  </r>
  <r>
    <s v="Jan 29 2024 2:38 am"/>
    <d v="2024-01-29T00:00:00"/>
    <x v="1"/>
    <x v="1"/>
    <x v="2"/>
    <d v="1899-12-30T02:38:00"/>
    <x v="20"/>
    <n v="163"/>
    <n v="121"/>
    <n v="2"/>
    <n v="39"/>
    <n v="1"/>
    <n v="0"/>
    <n v="0"/>
    <n v="38"/>
    <n v="0"/>
  </r>
  <r>
    <s v="Jan 28 2024 3:24 am"/>
    <d v="2024-01-28T00:00:00"/>
    <x v="1"/>
    <x v="1"/>
    <x v="6"/>
    <d v="1899-12-30T03:24:00"/>
    <x v="16"/>
    <n v="162"/>
    <n v="121"/>
    <n v="157"/>
    <n v="2363"/>
    <n v="12"/>
    <n v="21"/>
    <n v="9"/>
    <n v="2424"/>
    <n v="0"/>
  </r>
  <r>
    <s v="Jan 27 2024 4:19 am"/>
    <d v="2024-01-27T00:00:00"/>
    <x v="1"/>
    <x v="1"/>
    <x v="3"/>
    <d v="1899-12-30T04:19:00"/>
    <x v="14"/>
    <n v="161"/>
    <n v="121"/>
    <n v="14"/>
    <n v="176"/>
    <n v="1"/>
    <n v="1"/>
    <n v="1"/>
    <n v="189"/>
    <n v="1"/>
  </r>
  <r>
    <s v="Jan 26 2024 5:01 am"/>
    <d v="2024-01-26T00:00:00"/>
    <x v="1"/>
    <x v="1"/>
    <x v="4"/>
    <d v="1899-12-30T05:01:00"/>
    <x v="6"/>
    <n v="160"/>
    <n v="120"/>
    <n v="20"/>
    <n v="142"/>
    <n v="1"/>
    <n v="0"/>
    <n v="0"/>
    <n v="147"/>
    <n v="2"/>
  </r>
  <r>
    <s v="Jan 25 2024 3:32 am"/>
    <d v="2024-01-25T00:00:00"/>
    <x v="1"/>
    <x v="1"/>
    <x v="5"/>
    <d v="1899-12-30T03:32:00"/>
    <x v="16"/>
    <n v="159"/>
    <n v="118"/>
    <n v="61"/>
    <n v="947"/>
    <n v="4"/>
    <n v="3"/>
    <n v="0"/>
    <n v="960"/>
    <n v="0"/>
  </r>
  <r>
    <s v="Jan 24 2024 6:56 am"/>
    <d v="2024-01-24T00:00:00"/>
    <x v="1"/>
    <x v="1"/>
    <x v="0"/>
    <d v="1899-12-30T06:56:00"/>
    <x v="12"/>
    <n v="158"/>
    <n v="118"/>
    <n v="10"/>
    <n v="170"/>
    <n v="1"/>
    <n v="0"/>
    <n v="0"/>
    <n v="168"/>
    <n v="1"/>
  </r>
  <r>
    <s v="Jan 23 2024 3:23 am"/>
    <d v="2024-01-23T00:00:00"/>
    <x v="1"/>
    <x v="1"/>
    <x v="1"/>
    <d v="1899-12-30T03:23:00"/>
    <x v="16"/>
    <n v="157"/>
    <n v="117"/>
    <n v="14"/>
    <n v="240"/>
    <n v="1"/>
    <n v="4"/>
    <n v="3"/>
    <n v="262"/>
    <n v="2"/>
  </r>
  <r>
    <s v="Jan 22 2024 5:24 am"/>
    <d v="2024-01-22T00:00:00"/>
    <x v="1"/>
    <x v="1"/>
    <x v="2"/>
    <d v="1899-12-30T05:24:00"/>
    <x v="6"/>
    <n v="156"/>
    <n v="115"/>
    <n v="1"/>
    <n v="33"/>
    <n v="1"/>
    <n v="0"/>
    <n v="0"/>
    <n v="31"/>
    <n v="0"/>
  </r>
  <r>
    <s v="Jan 21 2024 4:43 am"/>
    <d v="2024-01-21T00:00:00"/>
    <x v="1"/>
    <x v="1"/>
    <x v="6"/>
    <d v="1899-12-30T04:43:00"/>
    <x v="14"/>
    <n v="155"/>
    <n v="115"/>
    <n v="12"/>
    <n v="186"/>
    <n v="1"/>
    <n v="1"/>
    <n v="2"/>
    <n v="183"/>
    <n v="0"/>
  </r>
  <r>
    <s v="Jan 20 2024 3:05 am"/>
    <d v="2024-01-20T00:00:00"/>
    <x v="1"/>
    <x v="1"/>
    <x v="3"/>
    <d v="1899-12-30T03:05:00"/>
    <x v="16"/>
    <n v="154"/>
    <n v="115"/>
    <n v="0"/>
    <n v="45"/>
    <n v="1"/>
    <n v="0"/>
    <n v="0"/>
    <n v="44"/>
    <n v="0"/>
  </r>
  <r>
    <s v="Jan 19 2024 3:48 am"/>
    <d v="2024-01-19T00:00:00"/>
    <x v="1"/>
    <x v="1"/>
    <x v="4"/>
    <d v="1899-12-30T03:48:00"/>
    <x v="16"/>
    <n v="153"/>
    <n v="115"/>
    <n v="1"/>
    <n v="26"/>
    <n v="1"/>
    <n v="0"/>
    <n v="0"/>
    <n v="25"/>
    <n v="1"/>
  </r>
  <r>
    <s v="Jan 18 2024 4:47 am"/>
    <d v="2024-01-18T00:00:00"/>
    <x v="1"/>
    <x v="1"/>
    <x v="5"/>
    <d v="1899-12-30T04:47:00"/>
    <x v="14"/>
    <n v="152"/>
    <n v="114"/>
    <n v="2"/>
    <n v="26"/>
    <n v="1"/>
    <n v="0"/>
    <n v="0"/>
    <n v="27"/>
    <n v="1"/>
  </r>
  <r>
    <s v="Jan 17 2024 4:40 am"/>
    <d v="2024-01-17T00:00:00"/>
    <x v="1"/>
    <x v="1"/>
    <x v="0"/>
    <d v="1899-12-30T04:40:00"/>
    <x v="14"/>
    <n v="151"/>
    <n v="113"/>
    <n v="64"/>
    <n v="876"/>
    <n v="2"/>
    <n v="4"/>
    <n v="5"/>
    <n v="922"/>
    <n v="1"/>
  </r>
  <r>
    <s v="Jan 16 2024 5:01 am"/>
    <d v="2024-01-16T00:00:00"/>
    <x v="1"/>
    <x v="1"/>
    <x v="1"/>
    <d v="1899-12-30T05:01:00"/>
    <x v="6"/>
    <n v="150"/>
    <n v="112"/>
    <n v="25"/>
    <n v="312"/>
    <n v="2"/>
    <n v="0"/>
    <n v="4"/>
    <n v="313"/>
    <n v="1"/>
  </r>
  <r>
    <s v="Jan 15 2024 4:53 am"/>
    <d v="2024-01-15T00:00:00"/>
    <x v="1"/>
    <x v="1"/>
    <x v="2"/>
    <d v="1899-12-30T04:53:00"/>
    <x v="14"/>
    <n v="149"/>
    <n v="111"/>
    <n v="4"/>
    <n v="46"/>
    <n v="1"/>
    <n v="0"/>
    <n v="0"/>
    <n v="46"/>
    <n v="7"/>
  </r>
  <r>
    <s v="Jan 14 2024 5:24 am"/>
    <d v="2024-01-14T00:00:00"/>
    <x v="1"/>
    <x v="1"/>
    <x v="6"/>
    <d v="1899-12-30T05:24:00"/>
    <x v="6"/>
    <n v="148"/>
    <n v="104"/>
    <n v="69"/>
    <n v="846"/>
    <n v="1"/>
    <n v="47"/>
    <n v="8"/>
    <n v="911"/>
    <n v="7"/>
  </r>
  <r>
    <s v="Jan 13 2024 6:30 am"/>
    <d v="2024-01-13T00:00:00"/>
    <x v="1"/>
    <x v="1"/>
    <x v="3"/>
    <d v="1899-12-30T06:30:00"/>
    <x v="12"/>
    <n v="147"/>
    <n v="97"/>
    <n v="5"/>
    <n v="50"/>
    <n v="1"/>
    <n v="3"/>
    <n v="0"/>
    <n v="56"/>
    <n v="4"/>
  </r>
  <r>
    <s v="Jan 12 2024 6:48 am"/>
    <d v="2024-01-12T00:00:00"/>
    <x v="1"/>
    <x v="1"/>
    <x v="4"/>
    <d v="1899-12-30T06:48:00"/>
    <x v="12"/>
    <n v="146"/>
    <n v="93"/>
    <n v="50"/>
    <n v="866"/>
    <n v="1"/>
    <n v="9"/>
    <n v="8"/>
    <n v="879"/>
    <n v="3"/>
  </r>
  <r>
    <s v="Jan 11 2024 5:06 am"/>
    <d v="2024-01-11T00:00:00"/>
    <x v="1"/>
    <x v="1"/>
    <x v="5"/>
    <d v="1899-12-30T05:06:00"/>
    <x v="6"/>
    <n v="145"/>
    <n v="90"/>
    <n v="98"/>
    <n v="953"/>
    <n v="1"/>
    <n v="5"/>
    <n v="1"/>
    <n v="949"/>
    <n v="10"/>
  </r>
  <r>
    <s v="Jan 10 2024 5:02 am"/>
    <d v="2024-01-10T00:00:00"/>
    <x v="1"/>
    <x v="1"/>
    <x v="0"/>
    <d v="1899-12-30T05:02:00"/>
    <x v="6"/>
    <n v="144"/>
    <n v="80"/>
    <n v="116"/>
    <n v="1882"/>
    <n v="6"/>
    <n v="22"/>
    <n v="7"/>
    <n v="1871"/>
    <n v="13"/>
  </r>
  <r>
    <s v="Jan 09 2024 3:30 am"/>
    <d v="2024-01-09T00:00:00"/>
    <x v="1"/>
    <x v="1"/>
    <x v="1"/>
    <d v="1899-12-30T03:30:00"/>
    <x v="16"/>
    <n v="143"/>
    <n v="67"/>
    <n v="2"/>
    <n v="60"/>
    <n v="1"/>
    <n v="1"/>
    <n v="0"/>
    <n v="61"/>
    <n v="0"/>
  </r>
  <r>
    <s v="Jan 08 2024 4:33 am"/>
    <d v="2024-01-08T00:00:00"/>
    <x v="1"/>
    <x v="1"/>
    <x v="2"/>
    <d v="1899-12-30T04:33:00"/>
    <x v="14"/>
    <n v="142"/>
    <n v="67"/>
    <n v="2"/>
    <n v="58"/>
    <n v="1"/>
    <n v="1"/>
    <n v="0"/>
    <n v="60"/>
    <n v="3"/>
  </r>
  <r>
    <s v="Jan 07 2024 4:56 am"/>
    <d v="2024-01-07T00:00:00"/>
    <x v="1"/>
    <x v="1"/>
    <x v="6"/>
    <d v="1899-12-30T04:56:00"/>
    <x v="14"/>
    <n v="141"/>
    <n v="64"/>
    <n v="15"/>
    <n v="175"/>
    <n v="1"/>
    <n v="0"/>
    <n v="1"/>
    <n v="174"/>
    <n v="1"/>
  </r>
  <r>
    <s v="Jan 06 2024 8:10 am"/>
    <d v="2024-01-06T00:00:00"/>
    <x v="1"/>
    <x v="1"/>
    <x v="3"/>
    <d v="1899-12-30T08:10:00"/>
    <x v="19"/>
    <n v="140"/>
    <n v="63"/>
    <n v="7"/>
    <n v="90"/>
    <n v="1"/>
    <n v="5"/>
    <n v="0"/>
    <n v="94"/>
    <n v="3"/>
  </r>
  <r>
    <s v="Jan 05 2024 2:25 am"/>
    <d v="2024-01-05T00:00:00"/>
    <x v="1"/>
    <x v="1"/>
    <x v="4"/>
    <d v="1899-12-30T02:25:00"/>
    <x v="20"/>
    <n v="139"/>
    <n v="60"/>
    <n v="0"/>
    <n v="47"/>
    <n v="1"/>
    <n v="0"/>
    <n v="0"/>
    <n v="43"/>
    <n v="2"/>
  </r>
  <r>
    <s v="Jan 04 2024 9:17 am"/>
    <d v="2024-01-04T00:00:00"/>
    <x v="1"/>
    <x v="1"/>
    <x v="5"/>
    <d v="1899-12-30T09:17:00"/>
    <x v="17"/>
    <n v="138"/>
    <n v="58"/>
    <n v="4"/>
    <n v="47"/>
    <n v="1"/>
    <n v="0"/>
    <n v="0"/>
    <n v="49"/>
    <n v="1"/>
  </r>
  <r>
    <s v="Jan 03 2024 4:44 am"/>
    <d v="2024-01-03T00:00:00"/>
    <x v="1"/>
    <x v="1"/>
    <x v="0"/>
    <d v="1899-12-30T04:44:00"/>
    <x v="14"/>
    <n v="137"/>
    <n v="57"/>
    <n v="3"/>
    <n v="52"/>
    <n v="1"/>
    <n v="0"/>
    <n v="0"/>
    <n v="50"/>
    <n v="3"/>
  </r>
  <r>
    <s v="Jan 02 2024 4:43 am"/>
    <d v="2024-01-02T00:00:00"/>
    <x v="1"/>
    <x v="1"/>
    <x v="1"/>
    <d v="1899-12-30T04:43:00"/>
    <x v="14"/>
    <n v="136"/>
    <n v="54"/>
    <n v="2"/>
    <n v="55"/>
    <n v="1"/>
    <n v="2"/>
    <n v="0"/>
    <n v="58"/>
    <n v="2"/>
  </r>
  <r>
    <s v="Jan 01 2024 4:10 am"/>
    <d v="2024-01-01T00:00:00"/>
    <x v="1"/>
    <x v="1"/>
    <x v="2"/>
    <d v="1899-12-30T04:10:00"/>
    <x v="14"/>
    <n v="135"/>
    <n v="52"/>
    <n v="0"/>
    <n v="50"/>
    <n v="1"/>
    <n v="0"/>
    <n v="0"/>
    <n v="51"/>
    <n v="0"/>
  </r>
  <r>
    <s v="Dec 31 2023 5:01 am"/>
    <d v="2023-12-31T00:00:00"/>
    <x v="2"/>
    <x v="2"/>
    <x v="6"/>
    <d v="1899-12-30T05:01:00"/>
    <x v="6"/>
    <n v="134"/>
    <n v="52"/>
    <n v="0"/>
    <n v="47"/>
    <n v="1"/>
    <n v="0"/>
    <n v="0"/>
    <n v="48"/>
    <n v="4"/>
  </r>
  <r>
    <s v="Dec 30 2023 4:07 am"/>
    <d v="2023-12-30T00:00:00"/>
    <x v="2"/>
    <x v="2"/>
    <x v="3"/>
    <d v="1899-12-30T04:07:00"/>
    <x v="14"/>
    <n v="132"/>
    <n v="48"/>
    <n v="0"/>
    <n v="47"/>
    <n v="1"/>
    <n v="0"/>
    <n v="0"/>
    <n v="45"/>
    <n v="0"/>
  </r>
  <r>
    <s v="Dec 30 2023 4:05 am"/>
    <d v="2023-12-30T00:00:00"/>
    <x v="2"/>
    <x v="2"/>
    <x v="3"/>
    <d v="1899-12-30T04:05:00"/>
    <x v="14"/>
    <n v="131"/>
    <n v="48"/>
    <n v="2"/>
    <n v="43"/>
    <n v="1"/>
    <n v="0"/>
    <n v="1"/>
    <n v="43"/>
    <n v="1"/>
  </r>
  <r>
    <s v="Dec 29 2023 4:11 am"/>
    <d v="2023-12-29T00:00:00"/>
    <x v="2"/>
    <x v="2"/>
    <x v="4"/>
    <d v="1899-12-30T04:11:00"/>
    <x v="14"/>
    <n v="130"/>
    <n v="47"/>
    <n v="1"/>
    <n v="38"/>
    <n v="1"/>
    <n v="0"/>
    <n v="1"/>
    <n v="37"/>
    <n v="2"/>
  </r>
  <r>
    <s v="Dec 28 2023 5:35 am"/>
    <d v="2023-12-28T00:00:00"/>
    <x v="2"/>
    <x v="2"/>
    <x v="5"/>
    <d v="1899-12-30T05:35:00"/>
    <x v="6"/>
    <n v="129"/>
    <n v="45"/>
    <n v="2"/>
    <n v="39"/>
    <n v="1"/>
    <n v="0"/>
    <n v="0"/>
    <n v="40"/>
    <n v="3"/>
  </r>
  <r>
    <s v="Dec 27 2023 3:54 am"/>
    <d v="2023-12-27T00:00:00"/>
    <x v="2"/>
    <x v="2"/>
    <x v="0"/>
    <d v="1899-12-30T03:54:00"/>
    <x v="16"/>
    <n v="128"/>
    <n v="42"/>
    <n v="0"/>
    <n v="40"/>
    <n v="1"/>
    <n v="0"/>
    <n v="0"/>
    <n v="40"/>
    <n v="3"/>
  </r>
  <r>
    <s v="Dec 26 2023 4:49 am"/>
    <d v="2023-12-26T00:00:00"/>
    <x v="2"/>
    <x v="2"/>
    <x v="1"/>
    <d v="1899-12-30T04:49:00"/>
    <x v="14"/>
    <n v="127"/>
    <n v="39"/>
    <n v="1"/>
    <n v="44"/>
    <n v="1"/>
    <n v="0"/>
    <n v="0"/>
    <n v="45"/>
    <n v="4"/>
  </r>
  <r>
    <s v="Dec 25 2023 4:56 am"/>
    <d v="2023-12-25T00:00:00"/>
    <x v="2"/>
    <x v="2"/>
    <x v="2"/>
    <d v="1899-12-30T04:56:00"/>
    <x v="14"/>
    <n v="126"/>
    <n v="35"/>
    <n v="2"/>
    <n v="46"/>
    <n v="1"/>
    <n v="0"/>
    <n v="0"/>
    <n v="48"/>
    <n v="0"/>
  </r>
  <r>
    <s v="Dec 24 2023 4:56 am"/>
    <d v="2023-12-24T00:00:00"/>
    <x v="2"/>
    <x v="2"/>
    <x v="6"/>
    <d v="1899-12-30T04:56:00"/>
    <x v="14"/>
    <n v="125"/>
    <n v="35"/>
    <n v="0"/>
    <n v="45"/>
    <n v="1"/>
    <n v="0"/>
    <n v="0"/>
    <n v="44"/>
    <n v="2"/>
  </r>
  <r>
    <s v="Dec 23 2023 4:04 am"/>
    <d v="2023-12-23T00:00:00"/>
    <x v="2"/>
    <x v="2"/>
    <x v="3"/>
    <d v="1899-12-30T04:04:00"/>
    <x v="14"/>
    <n v="124"/>
    <n v="33"/>
    <n v="1"/>
    <n v="45"/>
    <n v="1"/>
    <n v="0"/>
    <n v="0"/>
    <n v="46"/>
    <n v="1"/>
  </r>
  <r>
    <s v="Dec 22 2023 2:53 am"/>
    <d v="2023-12-22T00:00:00"/>
    <x v="2"/>
    <x v="2"/>
    <x v="4"/>
    <d v="1899-12-30T02:53:00"/>
    <x v="20"/>
    <n v="123"/>
    <n v="32"/>
    <n v="2"/>
    <n v="50"/>
    <n v="1"/>
    <n v="0"/>
    <n v="0"/>
    <n v="50"/>
    <n v="2"/>
  </r>
  <r>
    <s v="Dec 21 2023 5:06 am"/>
    <d v="2023-12-21T00:00:00"/>
    <x v="2"/>
    <x v="2"/>
    <x v="5"/>
    <d v="1899-12-30T05:06:00"/>
    <x v="6"/>
    <n v="122"/>
    <n v="30"/>
    <n v="2"/>
    <n v="39"/>
    <n v="1"/>
    <n v="0"/>
    <n v="0"/>
    <n v="36"/>
    <n v="0"/>
  </r>
  <r>
    <s v="Dec 20 2023 3:06 am"/>
    <d v="2023-12-20T00:00:00"/>
    <x v="2"/>
    <x v="2"/>
    <x v="0"/>
    <d v="1899-12-30T03:06:00"/>
    <x v="16"/>
    <n v="121"/>
    <n v="30"/>
    <n v="12"/>
    <n v="530"/>
    <n v="2"/>
    <n v="4"/>
    <n v="3"/>
    <n v="522"/>
    <n v="-1"/>
  </r>
  <r>
    <s v="Dec 19 2023 2:33 am"/>
    <d v="2023-12-19T00:00:00"/>
    <x v="2"/>
    <x v="2"/>
    <x v="1"/>
    <d v="1899-12-30T02:33:00"/>
    <x v="20"/>
    <n v="120"/>
    <n v="31"/>
    <n v="46"/>
    <n v="1212"/>
    <n v="6"/>
    <n v="2"/>
    <n v="4"/>
    <n v="1231"/>
    <n v="0"/>
  </r>
  <r>
    <s v="Dec 18 2023 2:23 am"/>
    <d v="2023-12-18T00:00:00"/>
    <x v="2"/>
    <x v="2"/>
    <x v="2"/>
    <d v="1899-12-30T02:23:00"/>
    <x v="20"/>
    <n v="119"/>
    <n v="31"/>
    <n v="0"/>
    <n v="43"/>
    <n v="2"/>
    <n v="1"/>
    <n v="1"/>
    <n v="58"/>
    <n v="0"/>
  </r>
  <r>
    <s v="Dec 17 2023 6:51 am"/>
    <d v="2023-12-17T00:00:00"/>
    <x v="2"/>
    <x v="2"/>
    <x v="6"/>
    <d v="1899-12-30T06:51:00"/>
    <x v="12"/>
    <n v="118"/>
    <n v="31"/>
    <n v="22"/>
    <n v="216"/>
    <n v="5"/>
    <n v="0"/>
    <n v="0"/>
    <n v="215"/>
    <n v="0"/>
  </r>
  <r>
    <s v="Dec 16 2023 2:52 am"/>
    <d v="2023-12-16T00:00:00"/>
    <x v="2"/>
    <x v="2"/>
    <x v="3"/>
    <d v="1899-12-30T02:52:00"/>
    <x v="20"/>
    <n v="117"/>
    <n v="31"/>
    <n v="1"/>
    <n v="27"/>
    <n v="1"/>
    <n v="0"/>
    <n v="0"/>
    <n v="26"/>
    <n v="0"/>
  </r>
  <r>
    <s v="Dec 15 2023 4:48 am"/>
    <d v="2023-12-15T00:00:00"/>
    <x v="2"/>
    <x v="2"/>
    <x v="4"/>
    <d v="1899-12-30T04:48:00"/>
    <x v="14"/>
    <n v="116"/>
    <n v="31"/>
    <n v="0"/>
    <n v="58"/>
    <n v="2"/>
    <n v="0"/>
    <n v="0"/>
    <n v="62"/>
    <n v="2"/>
  </r>
  <r>
    <s v="Dec 14 2023 6:23 am"/>
    <d v="2023-12-14T00:00:00"/>
    <x v="2"/>
    <x v="2"/>
    <x v="5"/>
    <d v="1899-12-30T06:23:00"/>
    <x v="12"/>
    <n v="115"/>
    <n v="29"/>
    <n v="29"/>
    <n v="555"/>
    <n v="5"/>
    <n v="4"/>
    <n v="11"/>
    <n v="574"/>
    <n v="0"/>
  </r>
  <r>
    <s v="Dec 13 2023 7:31 am"/>
    <d v="2023-12-13T00:00:00"/>
    <x v="2"/>
    <x v="2"/>
    <x v="0"/>
    <d v="1899-12-30T07:31:00"/>
    <x v="3"/>
    <n v="113"/>
    <n v="29"/>
    <n v="1"/>
    <n v="37"/>
    <n v="1"/>
    <n v="0"/>
    <n v="0"/>
    <n v="37"/>
    <n v="0"/>
  </r>
  <r>
    <s v="Dec 12 2023 4:42 am"/>
    <d v="2023-12-12T00:00:00"/>
    <x v="2"/>
    <x v="2"/>
    <x v="1"/>
    <d v="1899-12-30T04:42:00"/>
    <x v="14"/>
    <n v="112"/>
    <n v="29"/>
    <n v="1"/>
    <n v="33"/>
    <n v="1"/>
    <n v="0"/>
    <n v="0"/>
    <n v="32"/>
    <n v="0"/>
  </r>
  <r>
    <s v="Dec 11 2023 5:21 am"/>
    <d v="2023-12-11T00:00:00"/>
    <x v="2"/>
    <x v="2"/>
    <x v="2"/>
    <d v="1899-12-30T05:21:00"/>
    <x v="6"/>
    <n v="111"/>
    <n v="29"/>
    <n v="0"/>
    <n v="32"/>
    <n v="1"/>
    <n v="0"/>
    <n v="0"/>
    <n v="31"/>
    <n v="0"/>
  </r>
  <r>
    <s v="Dec 10 2023 6:17 am"/>
    <d v="2023-12-10T00:00:00"/>
    <x v="2"/>
    <x v="2"/>
    <x v="6"/>
    <d v="1899-12-30T06:17:00"/>
    <x v="12"/>
    <n v="110"/>
    <n v="29"/>
    <n v="1"/>
    <n v="34"/>
    <n v="1"/>
    <n v="0"/>
    <n v="1"/>
    <n v="35"/>
    <n v="0"/>
  </r>
  <r>
    <s v="Dec 09 2023 3:09 am"/>
    <d v="2023-12-09T00:00:00"/>
    <x v="2"/>
    <x v="2"/>
    <x v="3"/>
    <d v="1899-12-30T03:09:00"/>
    <x v="16"/>
    <n v="109"/>
    <n v="29"/>
    <n v="19"/>
    <n v="150"/>
    <n v="2"/>
    <n v="0"/>
    <n v="0"/>
    <n v="149"/>
    <n v="0"/>
  </r>
  <r>
    <s v="Dec 08 2023 6:38 am"/>
    <d v="2023-12-08T00:00:00"/>
    <x v="2"/>
    <x v="2"/>
    <x v="4"/>
    <d v="1899-12-30T06:38:00"/>
    <x v="12"/>
    <n v="108"/>
    <n v="29"/>
    <n v="161"/>
    <n v="1925"/>
    <n v="3"/>
    <n v="49"/>
    <n v="16"/>
    <n v="1999"/>
    <n v="0"/>
  </r>
  <r>
    <s v="Dec 07 2023 6:44 am"/>
    <d v="2023-12-07T00:00:00"/>
    <x v="2"/>
    <x v="2"/>
    <x v="5"/>
    <d v="1899-12-30T06:44:00"/>
    <x v="12"/>
    <n v="107"/>
    <n v="29"/>
    <n v="59"/>
    <n v="889"/>
    <n v="3"/>
    <n v="18"/>
    <n v="9"/>
    <n v="919"/>
    <n v="0"/>
  </r>
  <r>
    <s v="Dec 06 2023 4:54 am"/>
    <d v="2023-12-06T00:00:00"/>
    <x v="2"/>
    <x v="2"/>
    <x v="0"/>
    <d v="1899-12-30T04:54:00"/>
    <x v="14"/>
    <n v="106"/>
    <n v="29"/>
    <n v="24101"/>
    <n v="203696"/>
    <n v="67"/>
    <n v="14263"/>
    <n v="5138"/>
    <n v="218758"/>
    <n v="0"/>
  </r>
  <r>
    <s v="Dec 05 2023 4:44 am"/>
    <d v="2023-12-05T00:00:00"/>
    <x v="2"/>
    <x v="2"/>
    <x v="1"/>
    <d v="1899-12-30T04:44:00"/>
    <x v="14"/>
    <n v="105"/>
    <n v="29"/>
    <n v="0"/>
    <n v="23"/>
    <n v="1"/>
    <n v="0"/>
    <n v="0"/>
    <n v="21"/>
    <n v="0"/>
  </r>
  <r>
    <s v="Dec 04 2023 2:50 am"/>
    <d v="2023-12-04T00:00:00"/>
    <x v="2"/>
    <x v="2"/>
    <x v="2"/>
    <d v="1899-12-30T02:50:00"/>
    <x v="20"/>
    <n v="104"/>
    <n v="29"/>
    <n v="0"/>
    <n v="22"/>
    <n v="1"/>
    <n v="0"/>
    <n v="1"/>
    <n v="22"/>
    <n v="0"/>
  </r>
  <r>
    <s v="Dec 03 2023 9:30 pm"/>
    <d v="2023-12-03T00:00:00"/>
    <x v="2"/>
    <x v="2"/>
    <x v="6"/>
    <d v="1899-12-30T21:30:00"/>
    <x v="0"/>
    <n v="103"/>
    <n v="29"/>
    <n v="63"/>
    <n v="665"/>
    <n v="1"/>
    <n v="15"/>
    <n v="17"/>
    <n v="683"/>
    <n v="0"/>
  </r>
  <r>
    <s v="Dec 02 2023 9:46 am"/>
    <d v="2023-12-02T00:00:00"/>
    <x v="2"/>
    <x v="2"/>
    <x v="3"/>
    <d v="1899-12-30T09:46:00"/>
    <x v="17"/>
    <n v="102"/>
    <n v="29"/>
    <n v="78"/>
    <n v="709"/>
    <n v="4"/>
    <n v="19"/>
    <n v="9"/>
    <n v="726"/>
    <n v="0"/>
  </r>
  <r>
    <s v="Dec 01 2023 4:54 am"/>
    <d v="2023-12-01T00:00:00"/>
    <x v="2"/>
    <x v="2"/>
    <x v="4"/>
    <d v="1899-12-30T04:54:00"/>
    <x v="14"/>
    <n v="101"/>
    <n v="29"/>
    <n v="0"/>
    <n v="16"/>
    <n v="1"/>
    <n v="0"/>
    <n v="0"/>
    <n v="17"/>
    <n v="0"/>
  </r>
  <r>
    <s v="Nov 30 2023 2:34 am"/>
    <d v="2023-11-30T00:00:00"/>
    <x v="2"/>
    <x v="3"/>
    <x v="5"/>
    <d v="1899-12-30T02:34:00"/>
    <x v="20"/>
    <n v="100"/>
    <n v="29"/>
    <n v="0"/>
    <n v="16"/>
    <n v="0"/>
    <n v="0"/>
    <n v="0"/>
    <n v="16"/>
    <n v="0"/>
  </r>
  <r>
    <s v="Nov 29 2023 2:24 am"/>
    <d v="2023-11-29T00:00:00"/>
    <x v="2"/>
    <x v="3"/>
    <x v="0"/>
    <d v="1899-12-30T02:24:00"/>
    <x v="20"/>
    <n v="99"/>
    <n v="29"/>
    <n v="0"/>
    <n v="17"/>
    <n v="0"/>
    <n v="0"/>
    <n v="0"/>
    <n v="16"/>
    <n v="0"/>
  </r>
  <r>
    <s v="Nov 28 2023 2:44 am"/>
    <d v="2023-11-28T00:00:00"/>
    <x v="2"/>
    <x v="3"/>
    <x v="1"/>
    <d v="1899-12-30T02:44:00"/>
    <x v="20"/>
    <n v="98"/>
    <n v="29"/>
    <n v="0"/>
    <n v="18"/>
    <n v="0"/>
    <n v="0"/>
    <n v="1"/>
    <n v="16"/>
    <n v="0"/>
  </r>
  <r>
    <s v="Nov 27 2023 4:48 am"/>
    <d v="2023-11-27T00:00:00"/>
    <x v="2"/>
    <x v="3"/>
    <x v="2"/>
    <d v="1899-12-30T04:48:00"/>
    <x v="14"/>
    <n v="97"/>
    <n v="29"/>
    <n v="53"/>
    <n v="459"/>
    <n v="0"/>
    <n v="2"/>
    <n v="2"/>
    <n v="480"/>
    <n v="0"/>
  </r>
  <r>
    <s v="Nov 26 2023 6:24 am"/>
    <d v="2023-11-26T00:00:00"/>
    <x v="2"/>
    <x v="3"/>
    <x v="6"/>
    <d v="1899-12-30T06:24:00"/>
    <x v="12"/>
    <n v="96"/>
    <n v="29"/>
    <n v="1"/>
    <n v="16"/>
    <n v="0"/>
    <n v="0"/>
    <n v="0"/>
    <n v="16"/>
    <n v="0"/>
  </r>
  <r>
    <s v="Nov 25 2023 2:29 am"/>
    <d v="2023-11-25T00:00:00"/>
    <x v="2"/>
    <x v="3"/>
    <x v="3"/>
    <d v="1899-12-30T02:29:00"/>
    <x v="20"/>
    <n v="95"/>
    <n v="29"/>
    <n v="1"/>
    <n v="14"/>
    <n v="0"/>
    <n v="0"/>
    <n v="1"/>
    <n v="14"/>
    <n v="0"/>
  </r>
  <r>
    <s v="Nov 24 2023 2:21 am"/>
    <d v="2023-11-24T00:00:00"/>
    <x v="2"/>
    <x v="3"/>
    <x v="4"/>
    <d v="1899-12-30T02:21:00"/>
    <x v="20"/>
    <n v="94"/>
    <n v="29"/>
    <n v="1"/>
    <n v="27"/>
    <n v="0"/>
    <n v="1"/>
    <n v="0"/>
    <n v="36"/>
    <n v="0"/>
  </r>
  <r>
    <s v="Nov 23 2023 3:08 am"/>
    <d v="2023-11-23T00:00:00"/>
    <x v="2"/>
    <x v="3"/>
    <x v="5"/>
    <d v="1899-12-30T03:08:00"/>
    <x v="16"/>
    <n v="93"/>
    <n v="29"/>
    <n v="2"/>
    <n v="14"/>
    <n v="0"/>
    <n v="0"/>
    <n v="0"/>
    <n v="13"/>
    <n v="2"/>
  </r>
  <r>
    <s v="Nov 22 2023 2:42 am"/>
    <d v="2023-11-22T00:00:00"/>
    <x v="2"/>
    <x v="3"/>
    <x v="0"/>
    <d v="1899-12-30T02:42:00"/>
    <x v="20"/>
    <n v="92"/>
    <n v="27"/>
    <n v="26"/>
    <n v="199"/>
    <n v="0"/>
    <n v="2"/>
    <n v="6"/>
    <n v="208"/>
    <n v="1"/>
  </r>
  <r>
    <s v="Nov 21 2023 2:49 am"/>
    <d v="2023-11-21T00:00:00"/>
    <x v="2"/>
    <x v="3"/>
    <x v="1"/>
    <d v="1899-12-30T02:49:00"/>
    <x v="20"/>
    <n v="91"/>
    <n v="26"/>
    <n v="47"/>
    <n v="257"/>
    <n v="0"/>
    <n v="1"/>
    <n v="7"/>
    <n v="263"/>
    <n v="0"/>
  </r>
  <r>
    <s v="Nov 20 2023 2:44 am"/>
    <d v="2023-11-20T00:00:00"/>
    <x v="2"/>
    <x v="3"/>
    <x v="2"/>
    <d v="1899-12-30T02:44:00"/>
    <x v="20"/>
    <n v="90"/>
    <n v="26"/>
    <n v="1"/>
    <n v="19"/>
    <n v="0"/>
    <n v="1"/>
    <n v="0"/>
    <n v="18"/>
    <n v="-1"/>
  </r>
  <r>
    <s v="Nov 19 2023 2:30 am"/>
    <d v="2023-11-19T00:00:00"/>
    <x v="2"/>
    <x v="3"/>
    <x v="6"/>
    <d v="1899-12-30T02:30:00"/>
    <x v="20"/>
    <n v="89"/>
    <n v="27"/>
    <n v="17"/>
    <n v="163"/>
    <n v="1"/>
    <n v="0"/>
    <n v="1"/>
    <n v="162"/>
    <n v="0"/>
  </r>
  <r>
    <s v="Nov 18 2023 2:34 am"/>
    <d v="2023-11-18T00:00:00"/>
    <x v="2"/>
    <x v="3"/>
    <x v="3"/>
    <d v="1899-12-30T02:34:00"/>
    <x v="20"/>
    <n v="88"/>
    <n v="27"/>
    <n v="1"/>
    <n v="15"/>
    <n v="0"/>
    <n v="0"/>
    <n v="1"/>
    <n v="16"/>
    <n v="0"/>
  </r>
  <r>
    <s v="Nov 17 2023 2:51 am"/>
    <d v="2023-11-17T00:00:00"/>
    <x v="2"/>
    <x v="3"/>
    <x v="4"/>
    <d v="1899-12-30T02:51:00"/>
    <x v="20"/>
    <n v="87"/>
    <n v="27"/>
    <n v="123"/>
    <n v="1100"/>
    <n v="1"/>
    <n v="6"/>
    <n v="9"/>
    <n v="1133"/>
    <n v="0"/>
  </r>
  <r>
    <s v="Nov 16 2023 2:31 am"/>
    <d v="2023-11-16T00:00:00"/>
    <x v="2"/>
    <x v="3"/>
    <x v="5"/>
    <d v="1899-12-30T02:31:00"/>
    <x v="20"/>
    <n v="86"/>
    <n v="27"/>
    <n v="0"/>
    <n v="13"/>
    <n v="0"/>
    <n v="0"/>
    <n v="0"/>
    <n v="13"/>
    <n v="2"/>
  </r>
  <r>
    <s v="Nov 15 2023 2:48 am"/>
    <d v="2023-11-15T00:00:00"/>
    <x v="2"/>
    <x v="3"/>
    <x v="0"/>
    <d v="1899-12-30T02:48:00"/>
    <x v="20"/>
    <n v="85"/>
    <n v="25"/>
    <n v="83"/>
    <n v="963"/>
    <n v="1"/>
    <n v="18"/>
    <n v="4"/>
    <n v="965"/>
    <n v="0"/>
  </r>
  <r>
    <s v="Nov 14 2023 2:46 am"/>
    <d v="2023-11-14T00:00:00"/>
    <x v="2"/>
    <x v="3"/>
    <x v="1"/>
    <d v="1899-12-30T02:46:00"/>
    <x v="20"/>
    <n v="84"/>
    <n v="25"/>
    <n v="2"/>
    <n v="14"/>
    <n v="0"/>
    <n v="0"/>
    <n v="0"/>
    <n v="14"/>
    <n v="0"/>
  </r>
  <r>
    <s v="Nov 13 2023 10:32 pm"/>
    <d v="2023-11-13T00:00:00"/>
    <x v="2"/>
    <x v="3"/>
    <x v="2"/>
    <d v="1899-12-30T22:32:00"/>
    <x v="21"/>
    <n v="83"/>
    <n v="25"/>
    <n v="6"/>
    <n v="66"/>
    <n v="0"/>
    <n v="0"/>
    <n v="2"/>
    <n v="91"/>
    <n v="1"/>
  </r>
  <r>
    <s v="Nov 13 2023 2:29 am"/>
    <d v="2023-11-13T00:00:00"/>
    <x v="2"/>
    <x v="3"/>
    <x v="2"/>
    <d v="1899-12-30T02:29:00"/>
    <x v="20"/>
    <n v="82"/>
    <n v="24"/>
    <n v="19"/>
    <n v="218"/>
    <n v="0"/>
    <n v="2"/>
    <n v="0"/>
    <n v="222"/>
    <n v="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2024"/>
    <s v="August"/>
    <x v="0"/>
    <x v="0"/>
    <s v="7:00 AM – 8:00 AM"/>
    <n v="358"/>
    <n v="567"/>
    <n v="121389"/>
    <n v="606337"/>
    <n v="629"/>
    <n v="49795"/>
    <n v="13747"/>
    <n v="671466"/>
    <n v="0.18612768752839479"/>
  </r>
  <r>
    <x v="1"/>
    <x v="1"/>
    <n v="2024"/>
    <s v="March"/>
    <x v="1"/>
    <x v="1"/>
    <s v="6:00 AM – 7:00 AM"/>
    <n v="212"/>
    <n v="141"/>
    <n v="89336"/>
    <n v="638798"/>
    <n v="744"/>
    <n v="40416"/>
    <n v="19663"/>
    <n v="767087"/>
    <n v="0.1960922631107182"/>
  </r>
  <r>
    <x v="2"/>
    <x v="2"/>
    <n v="2024"/>
    <s v="November"/>
    <x v="1"/>
    <x v="2"/>
    <s v="12:00 PM – 1:00 PM"/>
    <n v="458"/>
    <n v="774"/>
    <n v="36507"/>
    <n v="426039"/>
    <n v="249"/>
    <n v="13603"/>
    <n v="10993"/>
    <n v="445364"/>
    <n v="0.13078148598371828"/>
  </r>
  <r>
    <x v="3"/>
    <x v="3"/>
    <n v="2024"/>
    <s v="July"/>
    <x v="2"/>
    <x v="3"/>
    <s v="6:00 AM – 7:00 AM"/>
    <n v="338"/>
    <n v="569"/>
    <n v="25117"/>
    <n v="370102"/>
    <n v="221"/>
    <n v="20683"/>
    <n v="8812"/>
    <n v="392092"/>
    <n v="0.1136104664726612"/>
  </r>
  <r>
    <x v="4"/>
    <x v="4"/>
    <n v="2024"/>
    <s v="December"/>
    <x v="1"/>
    <x v="4"/>
    <s v="1:00 PM – 2:00 PM"/>
    <n v="500"/>
    <n v="824"/>
    <n v="24317"/>
    <n v="561399"/>
    <n v="262"/>
    <n v="15842"/>
    <n v="10816"/>
    <n v="570352"/>
    <n v="0.17233303864147051"/>
  </r>
  <r>
    <x v="5"/>
    <x v="5"/>
    <n v="2023"/>
    <s v="December"/>
    <x v="3"/>
    <x v="5"/>
    <s v="4:00 AM – 5:00 AM"/>
    <n v="106"/>
    <n v="29"/>
    <n v="24101"/>
    <n v="203696"/>
    <n v="67"/>
    <n v="14263"/>
    <n v="5138"/>
    <n v="218758"/>
    <n v="6.2528701759555994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E01822-BF0C-4A3C-B0B5-5E7892B8473D}"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2">
  <location ref="A94:D100" firstHeaderRow="0" firstDataRow="1" firstDataCol="1"/>
  <pivotFields count="21">
    <pivotField axis="axisRow" showAll="0" sortType="descending">
      <items count="7">
        <item x="0"/>
        <item x="5"/>
        <item x="4"/>
        <item x="3"/>
        <item x="1"/>
        <item x="2"/>
        <item t="default"/>
      </items>
      <autoSortScope>
        <pivotArea dataOnly="0" outline="0" fieldPosition="0">
          <references count="1">
            <reference field="4294967294" count="1" selected="0">
              <x v="0"/>
            </reference>
          </references>
        </pivotArea>
      </autoSortScope>
    </pivotField>
    <pivotField numFmtId="164" showAll="0">
      <items count="7">
        <item x="5"/>
        <item x="1"/>
        <item x="3"/>
        <item x="0"/>
        <item x="2"/>
        <item x="4"/>
        <item t="default"/>
      </items>
    </pivotField>
    <pivotField showAll="0"/>
    <pivotField showAll="0"/>
    <pivotField showAll="0">
      <items count="5">
        <item x="2"/>
        <item x="1"/>
        <item x="3"/>
        <item x="0"/>
        <item t="default"/>
      </items>
    </pivotField>
    <pivotField numFmtId="18" showAll="0">
      <items count="7">
        <item x="5"/>
        <item x="1"/>
        <item x="3"/>
        <item x="0"/>
        <item x="2"/>
        <item x="4"/>
        <item t="default"/>
      </items>
    </pivotField>
    <pivotField showAll="0"/>
    <pivotField showAll="0"/>
    <pivotField numFmtId="3" showAll="0"/>
    <pivotField dataField="1" numFmtId="3" showAll="0"/>
    <pivotField dataField="1" numFmtId="3" showAll="0"/>
    <pivotField numFmtId="3" showAll="0"/>
    <pivotField dataField="1" numFmtId="3" showAll="0"/>
    <pivotField numFmtId="3" showAll="0"/>
    <pivotField numFmtId="3" showAll="0"/>
    <pivotField numFmtId="165"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6">
    <i>
      <x v="4"/>
    </i>
    <i>
      <x/>
    </i>
    <i>
      <x v="2"/>
    </i>
    <i>
      <x v="5"/>
    </i>
    <i>
      <x v="3"/>
    </i>
    <i>
      <x v="1"/>
    </i>
  </rowItems>
  <colFields count="1">
    <field x="-2"/>
  </colFields>
  <colItems count="3">
    <i>
      <x/>
    </i>
    <i i="1">
      <x v="1"/>
    </i>
    <i i="2">
      <x v="2"/>
    </i>
  </colItems>
  <dataFields count="3">
    <dataField name="Sum of Reach" fld="10" baseField="0" baseItem="0" numFmtId="3"/>
    <dataField name="Sum of Likes" fld="9" baseField="0" baseItem="0" numFmtId="3"/>
    <dataField name="Sum of Shares" fld="12" baseField="0" baseItem="0" numFmtId="3"/>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49E6E8-B183-4DEF-8CA1-3DF555463FB0}"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1">
  <location ref="A35:C47" firstHeaderRow="0" firstDataRow="1" firstDataCol="1"/>
  <pivotFields count="16">
    <pivotField showAll="0"/>
    <pivotField numFmtId="164" showAll="0"/>
    <pivotField showAll="0">
      <items count="4">
        <item x="2"/>
        <item x="1"/>
        <item x="0"/>
        <item t="default"/>
      </items>
    </pivotField>
    <pivotField axis="axisRow" showAll="0">
      <items count="13">
        <item x="1"/>
        <item x="0"/>
        <item x="11"/>
        <item x="10"/>
        <item x="9"/>
        <item x="8"/>
        <item x="7"/>
        <item x="6"/>
        <item x="5"/>
        <item x="4"/>
        <item x="3"/>
        <item x="2"/>
        <item t="default"/>
      </items>
    </pivotField>
    <pivotField showAll="0"/>
    <pivotField numFmtId="18" showAll="0"/>
    <pivotField showAll="0">
      <items count="23">
        <item x="8"/>
        <item x="9"/>
        <item x="21"/>
        <item x="13"/>
        <item x="18"/>
        <item x="11"/>
        <item x="20"/>
        <item x="7"/>
        <item x="16"/>
        <item x="1"/>
        <item x="14"/>
        <item x="2"/>
        <item x="6"/>
        <item x="4"/>
        <item x="12"/>
        <item x="15"/>
        <item x="3"/>
        <item x="5"/>
        <item x="19"/>
        <item x="10"/>
        <item x="17"/>
        <item x="0"/>
        <item t="default"/>
      </items>
    </pivotField>
    <pivotField showAll="0"/>
    <pivotField showAll="0"/>
    <pivotField dataField="1" showAll="0"/>
    <pivotField dataField="1" showAll="0"/>
    <pivotField showAll="0"/>
    <pivotField showAll="0"/>
    <pivotField showAll="0"/>
    <pivotField showAll="0"/>
    <pivotField showAll="0"/>
  </pivotFields>
  <rowFields count="1">
    <field x="3"/>
  </rowFields>
  <rowItems count="12">
    <i>
      <x/>
    </i>
    <i>
      <x v="1"/>
    </i>
    <i>
      <x v="2"/>
    </i>
    <i>
      <x v="3"/>
    </i>
    <i>
      <x v="4"/>
    </i>
    <i>
      <x v="5"/>
    </i>
    <i>
      <x v="6"/>
    </i>
    <i>
      <x v="7"/>
    </i>
    <i>
      <x v="8"/>
    </i>
    <i>
      <x v="9"/>
    </i>
    <i>
      <x v="10"/>
    </i>
    <i>
      <x v="11"/>
    </i>
  </rowItems>
  <colFields count="1">
    <field x="-2"/>
  </colFields>
  <colItems count="2">
    <i>
      <x/>
    </i>
    <i i="1">
      <x v="1"/>
    </i>
  </colItems>
  <dataFields count="2">
    <dataField name="Sum of Reach" fld="10" baseField="0" baseItem="0"/>
    <dataField name="Sum of Likes" fld="9"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5EC910-DF79-45FD-887C-E35368F65D04}"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5" customListSort="0">
  <location ref="A9:B25" firstHeaderRow="1" firstDataRow="1" firstDataCol="1"/>
  <pivotFields count="16">
    <pivotField showAll="0"/>
    <pivotField numFmtId="164" showAll="0"/>
    <pivotField showAll="0">
      <items count="4">
        <item x="2"/>
        <item x="1"/>
        <item x="0"/>
        <item t="default"/>
      </items>
    </pivotField>
    <pivotField showAll="0"/>
    <pivotField showAll="0">
      <items count="8">
        <item h="1" x="4"/>
        <item x="2"/>
        <item h="1" x="3"/>
        <item h="1" x="6"/>
        <item h="1" x="5"/>
        <item h="1" x="1"/>
        <item h="1" x="0"/>
        <item t="default"/>
      </items>
    </pivotField>
    <pivotField numFmtId="18" showAll="0"/>
    <pivotField axis="axisRow" showAll="0">
      <items count="23">
        <item x="8"/>
        <item x="9"/>
        <item x="21"/>
        <item x="13"/>
        <item x="18"/>
        <item x="11"/>
        <item x="20"/>
        <item x="7"/>
        <item x="16"/>
        <item x="1"/>
        <item x="14"/>
        <item x="2"/>
        <item x="6"/>
        <item x="4"/>
        <item x="12"/>
        <item x="15"/>
        <item x="3"/>
        <item x="5"/>
        <item x="19"/>
        <item x="10"/>
        <item x="17"/>
        <item x="0"/>
        <item t="default"/>
      </items>
    </pivotField>
    <pivotField showAll="0"/>
    <pivotField showAll="0"/>
    <pivotField showAll="0"/>
    <pivotField dataField="1" showAll="0"/>
    <pivotField showAll="0"/>
    <pivotField showAll="0"/>
    <pivotField showAll="0"/>
    <pivotField showAll="0"/>
    <pivotField showAll="0"/>
  </pivotFields>
  <rowFields count="1">
    <field x="6"/>
  </rowFields>
  <rowItems count="16">
    <i>
      <x/>
    </i>
    <i>
      <x v="1"/>
    </i>
    <i>
      <x v="2"/>
    </i>
    <i>
      <x v="3"/>
    </i>
    <i>
      <x v="5"/>
    </i>
    <i>
      <x v="6"/>
    </i>
    <i>
      <x v="7"/>
    </i>
    <i>
      <x v="8"/>
    </i>
    <i>
      <x v="9"/>
    </i>
    <i>
      <x v="10"/>
    </i>
    <i>
      <x v="11"/>
    </i>
    <i>
      <x v="12"/>
    </i>
    <i>
      <x v="14"/>
    </i>
    <i>
      <x v="16"/>
    </i>
    <i>
      <x v="18"/>
    </i>
    <i>
      <x v="20"/>
    </i>
  </rowItems>
  <colItems count="1">
    <i/>
  </colItems>
  <dataFields count="1">
    <dataField name="Sum of Reach" fld="10"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580C1A-F7B3-40EF-8827-84B3E9ED9D79}"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0">
  <location ref="A69:D82" firstHeaderRow="0" firstDataRow="1" firstDataCol="1"/>
  <pivotFields count="16">
    <pivotField showAll="0"/>
    <pivotField numFmtId="164" showAll="0"/>
    <pivotField showAll="0">
      <items count="4">
        <item x="2"/>
        <item x="1"/>
        <item x="0"/>
        <item t="default"/>
      </items>
    </pivotField>
    <pivotField axis="axisRow" showAll="0">
      <items count="13">
        <item x="1"/>
        <item x="0"/>
        <item x="11"/>
        <item x="10"/>
        <item x="9"/>
        <item x="8"/>
        <item x="7"/>
        <item x="6"/>
        <item x="5"/>
        <item x="4"/>
        <item x="3"/>
        <item x="2"/>
        <item t="default"/>
      </items>
    </pivotField>
    <pivotField showAll="0"/>
    <pivotField numFmtId="18" showAll="0"/>
    <pivotField showAll="0"/>
    <pivotField showAll="0"/>
    <pivotField showAll="0"/>
    <pivotField showAll="0"/>
    <pivotField showAll="0"/>
    <pivotField dataField="1" showAll="0"/>
    <pivotField dataField="1" showAll="0"/>
    <pivotField dataField="1" showAll="0"/>
    <pivotField showAll="0"/>
    <pivotField showAll="0"/>
  </pivotFields>
  <rowFields count="1">
    <field x="3"/>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Comments" fld="11" baseField="0" baseItem="0"/>
    <dataField name="Sum of Shares" fld="12" baseField="0" baseItem="0"/>
    <dataField name="Sum of Saves" fld="1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312899-58AB-4A39-AB31-CB58D7B8FD38}"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A51:B64" firstHeaderRow="1" firstDataRow="1" firstDataCol="1"/>
  <pivotFields count="16">
    <pivotField showAll="0"/>
    <pivotField numFmtId="164" showAll="0"/>
    <pivotField showAll="0">
      <items count="4">
        <item x="2"/>
        <item x="1"/>
        <item x="0"/>
        <item t="default"/>
      </items>
    </pivotField>
    <pivotField axis="axisRow" showAll="0">
      <items count="13">
        <item x="1"/>
        <item x="0"/>
        <item x="11"/>
        <item x="10"/>
        <item x="9"/>
        <item x="8"/>
        <item x="7"/>
        <item x="6"/>
        <item x="5"/>
        <item x="4"/>
        <item x="3"/>
        <item x="2"/>
        <item t="default"/>
      </items>
    </pivotField>
    <pivotField showAll="0"/>
    <pivotField numFmtId="18"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3">
    <i>
      <x/>
    </i>
    <i>
      <x v="1"/>
    </i>
    <i>
      <x v="2"/>
    </i>
    <i>
      <x v="3"/>
    </i>
    <i>
      <x v="4"/>
    </i>
    <i>
      <x v="5"/>
    </i>
    <i>
      <x v="6"/>
    </i>
    <i>
      <x v="7"/>
    </i>
    <i>
      <x v="8"/>
    </i>
    <i>
      <x v="9"/>
    </i>
    <i>
      <x v="10"/>
    </i>
    <i>
      <x v="11"/>
    </i>
    <i t="grand">
      <x/>
    </i>
  </rowItems>
  <colItems count="1">
    <i/>
  </colItems>
  <dataFields count="1">
    <dataField name="Sum of Followers Gained" fld="1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E8C7D085-CC1B-4A56-9BB0-19F73893CE2D}" sourceName="Day">
  <pivotTables>
    <pivotTable tabId="2" name="PivotTable1"/>
  </pivotTables>
  <data>
    <tabular pivotCacheId="889447265">
      <items count="7">
        <i x="6"/>
        <i x="2" s="1"/>
        <i x="1"/>
        <i x="0"/>
        <i x="5"/>
        <i x="4"/>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D4831B8-68AB-4BB4-B35E-84B1031E43B8}" sourceName="Year">
  <pivotTables>
    <pivotTable tabId="2" name="PivotTable1"/>
    <pivotTable tabId="2" name="PivotTable2"/>
    <pivotTable tabId="2" name="PivotTable3"/>
    <pivotTable tabId="2" name="PivotTable4"/>
  </pivotTables>
  <data>
    <tabular pivotCacheId="889447265">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xr10:uid="{0BE82C4B-BC3F-48DB-88BC-F0316DD01DC7}" cache="Slicer_Day" caption="Day" rowHeight="247650"/>
  <slicer name="Year" xr10:uid="{30141275-5981-476A-A63F-3E2E8729A6D0}" cache="Slicer_Year" caption="Year" columnCount="3"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6266B7-5BD8-425B-AC91-56081ACD953F}" name="Table1" displayName="Table1" ref="A1:P475" totalsRowShown="0" headerRowDxfId="47">
  <autoFilter ref="A1:P475" xr:uid="{B96266B7-5BD8-425B-AC91-56081ACD953F}"/>
  <sortState xmlns:xlrd2="http://schemas.microsoft.com/office/spreadsheetml/2017/richdata2" ref="A2:O475">
    <sortCondition descending="1" ref="J1:J475"/>
  </sortState>
  <tableColumns count="16">
    <tableColumn id="1" xr3:uid="{CF612468-4F8C-44C0-A21D-49BDDAD6C55C}" name="Upload Timestamp" dataDxfId="4"/>
    <tableColumn id="2" xr3:uid="{AF8703A9-F583-4CCA-986A-C423BD75E9FB}" name="Date" dataDxfId="3"/>
    <tableColumn id="3" xr3:uid="{9B801B77-CDF7-4BE8-A1E8-C82185A512DC}" name="Year"/>
    <tableColumn id="4" xr3:uid="{EC2CEB6D-888A-4049-8C95-61D7EAE13949}" name="Month">
      <calculatedColumnFormula>TEXT(B2,"MMMM")</calculatedColumnFormula>
    </tableColumn>
    <tableColumn id="16" xr3:uid="{1F8051FC-BC7F-4C78-9033-4689D9FD8DEB}" name="Day" dataDxfId="2">
      <calculatedColumnFormula>TEXT(B2,"dddd")</calculatedColumnFormula>
    </tableColumn>
    <tableColumn id="5" xr3:uid="{F15925E6-3821-489A-AF0B-6371439444CD}" name="Time Stamp" dataDxfId="1"/>
    <tableColumn id="6" xr3:uid="{7984E0EA-2AD7-48A3-AD67-53BDF14F7736}" name="Time Range" dataDxfId="0">
      <calculatedColumnFormula>TEXT(FLOOR(F2,"1:00"),"h:mm AM/PM") &amp; " – " &amp; TEXT(FLOOR(F2,"1:00") + TIME(1,0,0),"h:mm AM/PM")</calculatedColumnFormula>
    </tableColumn>
    <tableColumn id="7" xr3:uid="{CCD36B71-F833-4F41-9F37-0EE71643F473}" name="Post Number"/>
    <tableColumn id="8" xr3:uid="{C6431987-BACE-490F-9B7B-7404872F4314}" name="Followers"/>
    <tableColumn id="9" xr3:uid="{D2F81608-0E92-44C1-B881-4612254134A9}" name="Likes"/>
    <tableColumn id="10" xr3:uid="{650B8B21-A1B6-4EDE-954E-E7DF8B0983AB}" name="Reach"/>
    <tableColumn id="11" xr3:uid="{8A33ADDE-3790-4A51-9440-904D214CFABA}" name="Comments"/>
    <tableColumn id="12" xr3:uid="{9E44BD6B-CC96-41BE-8A61-419763E85CDA}" name="Shares"/>
    <tableColumn id="13" xr3:uid="{1D617792-C408-456B-8A80-8F09A767F009}" name="Saves"/>
    <tableColumn id="14" xr3:uid="{9719EDC7-0BC6-4A99-B13D-AC97E01243D1}" name="Plays"/>
    <tableColumn id="15" xr3:uid="{8CA37952-4CDE-461F-AF6C-1D5143530477}" name="Followers Gaine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0988A7-7A9A-4E47-9FAC-0595BF5BAE1E}" name="Table2" displayName="Table2" ref="A3:P9" totalsRowShown="0" headerRowDxfId="46" dataDxfId="44" headerRowBorderDxfId="45" tableBorderDxfId="43" totalsRowBorderDxfId="42">
  <autoFilter ref="A3:P9" xr:uid="{0F0988A7-7A9A-4E47-9FAC-0595BF5BAE1E}"/>
  <tableColumns count="16">
    <tableColumn id="1" xr3:uid="{5A213E24-E631-462E-A133-9E8BE7778A00}" name="Upload Timestamp" dataDxfId="41"/>
    <tableColumn id="2" xr3:uid="{D7024B36-946C-4039-A924-5E813FD0F175}" name="Date" dataDxfId="40"/>
    <tableColumn id="3" xr3:uid="{87876F28-BADC-41A5-8857-F303FCB123D9}" name="Year" dataDxfId="39"/>
    <tableColumn id="4" xr3:uid="{08BB8F11-28B4-40F9-9386-24C881FDD070}" name="Month" dataDxfId="38">
      <calculatedColumnFormula>TEXT(B4,"MMMM")</calculatedColumnFormula>
    </tableColumn>
    <tableColumn id="5" xr3:uid="{09F8E0E3-E4DA-4D09-8165-EA925D429E3B}" name="Day" dataDxfId="37">
      <calculatedColumnFormula>TEXT(B4,"dddd")</calculatedColumnFormula>
    </tableColumn>
    <tableColumn id="6" xr3:uid="{9904C982-1EB0-4081-8C16-3ACBAA78C560}" name="Time Stamp" dataDxfId="36"/>
    <tableColumn id="7" xr3:uid="{6512A2AF-BEE1-443B-87CE-732DC121CE29}" name="Time Range" dataDxfId="35">
      <calculatedColumnFormula>TEXT(FLOOR(F4,"1:00"),"h:mm AM/PM") &amp; " – " &amp; TEXT(FLOOR(F4,"1:00") + TIME(1,0,0),"h:mm AM/PM")</calculatedColumnFormula>
    </tableColumn>
    <tableColumn id="8" xr3:uid="{C4D3B2F5-8CCE-414D-AEE1-8F4821890058}" name="Post Number" dataDxfId="34"/>
    <tableColumn id="9" xr3:uid="{B05AA820-9509-42A7-87D3-7439D22AC694}" name="Followers" dataDxfId="33"/>
    <tableColumn id="10" xr3:uid="{EEE461A2-CA80-41A9-9F9F-BAA059CB5E4B}" name="Likes" dataDxfId="32"/>
    <tableColumn id="11" xr3:uid="{54AF85A7-3EFE-4B15-B2E8-C21C8D504FF5}" name="Reach" dataDxfId="31"/>
    <tableColumn id="12" xr3:uid="{3EDD38AF-C431-4D87-BA80-53D97338C657}" name="Comments" dataDxfId="30"/>
    <tableColumn id="13" xr3:uid="{F954D69C-357E-4D15-8FD9-A27230F19A7C}" name="Shares" dataDxfId="29"/>
    <tableColumn id="14" xr3:uid="{EF9B91C9-EDF7-47FB-85EA-3F9DFD395913}" name="Saves" dataDxfId="28"/>
    <tableColumn id="15" xr3:uid="{7F7F1E13-12E7-463D-A52C-F748BD65AA70}" name="Plays" dataDxfId="27"/>
    <tableColumn id="20" xr3:uid="{8D3200EB-AEF5-4A69-B846-F3CDCAB75828}" name="Percentage Contribution" dataDxfId="26"/>
  </tableColumns>
  <tableStyleInfo name="TableStyleLight2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143141-C602-4825-8F89-E0BA6E8416A3}" name="Table3" displayName="Table3" ref="A1:P475" totalsRowShown="0" headerRowDxfId="25" dataDxfId="23" headerRowBorderDxfId="24" tableBorderDxfId="22" totalsRowBorderDxfId="21">
  <autoFilter ref="A1:P475" xr:uid="{8F143141-C602-4825-8F89-E0BA6E8416A3}"/>
  <tableColumns count="16">
    <tableColumn id="1" xr3:uid="{9BFFC08A-D5E8-49B7-B528-A79D9E2D7880}" name="Upload Timestamp" dataDxfId="20"/>
    <tableColumn id="2" xr3:uid="{6D1892B3-BC8A-4359-8168-2D36897C19B3}" name="Date" dataDxfId="19"/>
    <tableColumn id="3" xr3:uid="{AC570B0E-C97D-4B8D-A126-3BED9E5611FB}" name="Year" dataDxfId="18"/>
    <tableColumn id="4" xr3:uid="{A7AF2137-B521-4C0B-8979-93509AF2136B}" name="Month" dataDxfId="17">
      <calculatedColumnFormula>TEXT(B2,"MMMM")</calculatedColumnFormula>
    </tableColumn>
    <tableColumn id="5" xr3:uid="{84528113-C880-40DB-9125-9AE7D2A726E7}" name="Day" dataDxfId="16">
      <calculatedColumnFormula>TEXT(B2,"dddd")</calculatedColumnFormula>
    </tableColumn>
    <tableColumn id="6" xr3:uid="{BB188CF6-405B-431C-9CAF-C732C8A03D77}" name="Time Stamp" dataDxfId="15"/>
    <tableColumn id="7" xr3:uid="{36458ADF-203E-491F-80BB-288C32CF6CDD}" name="Time Range" dataDxfId="14">
      <calculatedColumnFormula>TEXT(FLOOR(F2,"1:00"),"h:mm AM/PM") &amp; " – " &amp; TEXT(FLOOR(F2,"1:00") + TIME(1,0,0),"h:mm AM/PM")</calculatedColumnFormula>
    </tableColumn>
    <tableColumn id="8" xr3:uid="{7CBFDFDC-CD62-416A-9D96-40FF0CA37B8C}" name="Post Number" dataDxfId="13"/>
    <tableColumn id="9" xr3:uid="{8FBC76EF-B192-40D2-932A-FB36CC26FA22}" name="Followers" dataDxfId="12"/>
    <tableColumn id="10" xr3:uid="{3230DC90-4D7C-4C1F-B9B8-4DCA661FF8D1}" name="Likes" dataDxfId="11"/>
    <tableColumn id="11" xr3:uid="{71F9B7CC-E27E-4F6D-9026-F8C152DA4717}" name="Reach" dataDxfId="10"/>
    <tableColumn id="12" xr3:uid="{32A1B229-ADF7-4F6B-843B-D309315841C5}" name="Comments" dataDxfId="9"/>
    <tableColumn id="13" xr3:uid="{917DD5EE-EAE5-4BE1-8964-FDF24C852F4F}" name="Shares" dataDxfId="8"/>
    <tableColumn id="14" xr3:uid="{28ACCFFB-473D-4849-9FF7-74D039871CB5}" name="Saves" dataDxfId="7"/>
    <tableColumn id="15" xr3:uid="{CA096468-755D-452B-A8F6-5AB9F07F7526}" name="Plays" dataDxfId="6"/>
    <tableColumn id="16" xr3:uid="{6E1CF62C-2A68-49A5-95AE-BCB71208E48B}" name="Followers Gained"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9327D-883A-4D1E-A31F-890A52A9A214}">
  <dimension ref="A1:P476"/>
  <sheetViews>
    <sheetView tabSelected="1" zoomScale="90" zoomScaleNormal="90" workbookViewId="0">
      <pane ySplit="1" topLeftCell="A342" activePane="bottomLeft" state="frozen"/>
      <selection pane="bottomLeft" activeCell="Q1" sqref="Q1:Q1048576"/>
    </sheetView>
  </sheetViews>
  <sheetFormatPr defaultRowHeight="14.4" x14ac:dyDescent="0.3"/>
  <cols>
    <col min="1" max="1" width="19.109375" style="3" bestFit="1" customWidth="1"/>
    <col min="2" max="2" width="17.77734375" style="3" bestFit="1" customWidth="1"/>
    <col min="3" max="3" width="7.5546875" bestFit="1" customWidth="1"/>
    <col min="4" max="4" width="9.77734375" bestFit="1" customWidth="1"/>
    <col min="5" max="5" width="10.33203125" bestFit="1" customWidth="1"/>
    <col min="6" max="6" width="13.21875" bestFit="1" customWidth="1"/>
    <col min="7" max="7" width="17.5546875" bestFit="1" customWidth="1"/>
    <col min="8" max="8" width="14.88671875" bestFit="1" customWidth="1"/>
    <col min="9" max="9" width="11.21875" bestFit="1" customWidth="1"/>
    <col min="10" max="10" width="7.5546875" bestFit="1" customWidth="1"/>
    <col min="11" max="11" width="8.33203125" bestFit="1" customWidth="1"/>
    <col min="12" max="12" width="12.33203125" bestFit="1" customWidth="1"/>
    <col min="13" max="13" width="8.88671875" bestFit="1" customWidth="1"/>
    <col min="14" max="14" width="8.109375" bestFit="1" customWidth="1"/>
    <col min="15" max="15" width="8" bestFit="1" customWidth="1"/>
    <col min="16" max="16" width="17.6640625" bestFit="1" customWidth="1"/>
  </cols>
  <sheetData>
    <row r="1" spans="1:16" s="1" customFormat="1" x14ac:dyDescent="0.3">
      <c r="A1" s="2" t="s">
        <v>0</v>
      </c>
      <c r="B1" s="2" t="s">
        <v>486</v>
      </c>
      <c r="C1" s="1" t="s">
        <v>10</v>
      </c>
      <c r="D1" s="1" t="s">
        <v>485</v>
      </c>
      <c r="E1" s="1" t="s">
        <v>508</v>
      </c>
      <c r="F1" s="1" t="s">
        <v>487</v>
      </c>
      <c r="G1" s="1" t="s">
        <v>488</v>
      </c>
      <c r="H1" s="1" t="s">
        <v>1</v>
      </c>
      <c r="I1" s="1" t="s">
        <v>2</v>
      </c>
      <c r="J1" s="1" t="s">
        <v>3</v>
      </c>
      <c r="K1" s="1" t="s">
        <v>4</v>
      </c>
      <c r="L1" s="1" t="s">
        <v>5</v>
      </c>
      <c r="M1" s="1" t="s">
        <v>6</v>
      </c>
      <c r="N1" s="1" t="s">
        <v>7</v>
      </c>
      <c r="O1" s="1" t="s">
        <v>8</v>
      </c>
      <c r="P1" s="1" t="s">
        <v>9</v>
      </c>
    </row>
    <row r="2" spans="1:16" x14ac:dyDescent="0.3">
      <c r="A2" s="3" t="s">
        <v>210</v>
      </c>
      <c r="B2" s="3">
        <v>45514</v>
      </c>
      <c r="C2">
        <v>2024</v>
      </c>
      <c r="D2" t="str">
        <f t="shared" ref="D2:D65" si="0">TEXT(B2,"MMMM")</f>
        <v>August</v>
      </c>
      <c r="E2" t="str">
        <f t="shared" ref="E2:E65" si="1">TEXT(B2,"dddd")</f>
        <v>Saturday</v>
      </c>
      <c r="F2" s="4">
        <v>0.29583333333333334</v>
      </c>
      <c r="G2" s="4" t="str">
        <f t="shared" ref="G2:G65" si="2">TEXT(FLOOR(F2,"1:00"),"h:mm AM/PM") &amp; " – " &amp; TEXT(FLOOR(F2,"1:00") + TIME(1,0,0),"h:mm AM/PM")</f>
        <v>7:00 AM – 8:00 AM</v>
      </c>
      <c r="H2">
        <v>358</v>
      </c>
      <c r="I2">
        <v>567</v>
      </c>
      <c r="J2">
        <v>121389</v>
      </c>
      <c r="K2">
        <v>606337</v>
      </c>
      <c r="L2">
        <v>629</v>
      </c>
      <c r="M2">
        <v>49795</v>
      </c>
      <c r="N2">
        <v>13747</v>
      </c>
      <c r="O2">
        <v>671466</v>
      </c>
      <c r="P2">
        <v>2</v>
      </c>
    </row>
    <row r="3" spans="1:16" x14ac:dyDescent="0.3">
      <c r="A3" s="3" t="s">
        <v>356</v>
      </c>
      <c r="B3" s="3">
        <v>45369</v>
      </c>
      <c r="C3">
        <v>2024</v>
      </c>
      <c r="D3" t="str">
        <f t="shared" si="0"/>
        <v>March</v>
      </c>
      <c r="E3" t="str">
        <f t="shared" si="1"/>
        <v>Monday</v>
      </c>
      <c r="F3" s="4">
        <v>0.2638888888888889</v>
      </c>
      <c r="G3" s="4" t="str">
        <f t="shared" si="2"/>
        <v>6:00 AM – 7:00 AM</v>
      </c>
      <c r="H3">
        <v>212</v>
      </c>
      <c r="I3">
        <v>141</v>
      </c>
      <c r="J3">
        <v>89336</v>
      </c>
      <c r="K3">
        <v>638798</v>
      </c>
      <c r="L3">
        <v>744</v>
      </c>
      <c r="M3">
        <v>40416</v>
      </c>
      <c r="N3">
        <v>19663</v>
      </c>
      <c r="O3">
        <v>767087</v>
      </c>
      <c r="P3">
        <v>0</v>
      </c>
    </row>
    <row r="4" spans="1:16" x14ac:dyDescent="0.3">
      <c r="A4" s="3" t="s">
        <v>110</v>
      </c>
      <c r="B4" s="3">
        <v>45614</v>
      </c>
      <c r="C4">
        <v>2024</v>
      </c>
      <c r="D4" t="str">
        <f t="shared" si="0"/>
        <v>November</v>
      </c>
      <c r="E4" t="str">
        <f t="shared" si="1"/>
        <v>Monday</v>
      </c>
      <c r="F4" s="4">
        <v>0.53472222222222221</v>
      </c>
      <c r="G4" s="4" t="str">
        <f t="shared" si="2"/>
        <v>12:00 PM – 1:00 PM</v>
      </c>
      <c r="H4">
        <v>458</v>
      </c>
      <c r="I4">
        <v>774</v>
      </c>
      <c r="J4">
        <v>36507</v>
      </c>
      <c r="K4">
        <v>426039</v>
      </c>
      <c r="L4">
        <v>249</v>
      </c>
      <c r="M4">
        <v>13603</v>
      </c>
      <c r="N4">
        <v>10993</v>
      </c>
      <c r="O4">
        <v>445364</v>
      </c>
      <c r="P4">
        <v>-2</v>
      </c>
    </row>
    <row r="5" spans="1:16" x14ac:dyDescent="0.3">
      <c r="A5" s="3" t="s">
        <v>230</v>
      </c>
      <c r="B5" s="3">
        <v>45494</v>
      </c>
      <c r="C5">
        <v>2024</v>
      </c>
      <c r="D5" t="str">
        <f t="shared" si="0"/>
        <v>July</v>
      </c>
      <c r="E5" t="str">
        <f t="shared" si="1"/>
        <v>Sunday</v>
      </c>
      <c r="F5" s="4">
        <v>0.29097222222222224</v>
      </c>
      <c r="G5" s="4" t="str">
        <f t="shared" si="2"/>
        <v>6:00 AM – 7:00 AM</v>
      </c>
      <c r="H5">
        <v>338</v>
      </c>
      <c r="I5">
        <v>569</v>
      </c>
      <c r="J5">
        <v>25117</v>
      </c>
      <c r="K5">
        <v>370102</v>
      </c>
      <c r="L5">
        <v>221</v>
      </c>
      <c r="M5">
        <v>20683</v>
      </c>
      <c r="N5">
        <v>8812</v>
      </c>
      <c r="O5">
        <v>392092</v>
      </c>
      <c r="P5">
        <v>0</v>
      </c>
    </row>
    <row r="6" spans="1:16" x14ac:dyDescent="0.3">
      <c r="A6" s="3" t="s">
        <v>68</v>
      </c>
      <c r="B6" s="3">
        <v>45656</v>
      </c>
      <c r="C6">
        <v>2024</v>
      </c>
      <c r="D6" t="str">
        <f t="shared" si="0"/>
        <v>December</v>
      </c>
      <c r="E6" t="str">
        <f t="shared" si="1"/>
        <v>Monday</v>
      </c>
      <c r="F6" s="4">
        <v>0.5756944444444444</v>
      </c>
      <c r="G6" s="4" t="str">
        <f t="shared" si="2"/>
        <v>1:00 PM – 2:00 PM</v>
      </c>
      <c r="H6">
        <v>500</v>
      </c>
      <c r="I6">
        <v>824</v>
      </c>
      <c r="J6">
        <v>24317</v>
      </c>
      <c r="K6">
        <v>561399</v>
      </c>
      <c r="L6">
        <v>262</v>
      </c>
      <c r="M6">
        <v>15842</v>
      </c>
      <c r="N6">
        <v>10816</v>
      </c>
      <c r="O6">
        <v>570352</v>
      </c>
      <c r="P6">
        <v>0</v>
      </c>
    </row>
    <row r="7" spans="1:16" x14ac:dyDescent="0.3">
      <c r="A7" s="3" t="s">
        <v>460</v>
      </c>
      <c r="B7" s="3">
        <v>45266</v>
      </c>
      <c r="C7">
        <v>2023</v>
      </c>
      <c r="D7" t="str">
        <f t="shared" si="0"/>
        <v>December</v>
      </c>
      <c r="E7" t="str">
        <f t="shared" si="1"/>
        <v>Wednesday</v>
      </c>
      <c r="F7" s="4">
        <v>0.20416666666666666</v>
      </c>
      <c r="G7" s="4" t="str">
        <f t="shared" si="2"/>
        <v>4:00 AM – 5:00 AM</v>
      </c>
      <c r="H7">
        <v>106</v>
      </c>
      <c r="I7">
        <v>29</v>
      </c>
      <c r="J7">
        <v>24101</v>
      </c>
      <c r="K7">
        <v>203696</v>
      </c>
      <c r="L7">
        <v>67</v>
      </c>
      <c r="M7">
        <v>14263</v>
      </c>
      <c r="N7">
        <v>5138</v>
      </c>
      <c r="O7">
        <v>218758</v>
      </c>
      <c r="P7">
        <v>0</v>
      </c>
    </row>
    <row r="8" spans="1:16" x14ac:dyDescent="0.3">
      <c r="A8" s="3" t="s">
        <v>307</v>
      </c>
      <c r="B8" s="3">
        <v>45417</v>
      </c>
      <c r="C8">
        <v>2024</v>
      </c>
      <c r="D8" t="str">
        <f t="shared" si="0"/>
        <v>May</v>
      </c>
      <c r="E8" t="str">
        <f t="shared" si="1"/>
        <v>Sunday</v>
      </c>
      <c r="F8" s="4">
        <v>0.29097222222222224</v>
      </c>
      <c r="G8" s="4" t="str">
        <f t="shared" si="2"/>
        <v>6:00 AM – 7:00 AM</v>
      </c>
      <c r="H8">
        <v>261</v>
      </c>
      <c r="I8">
        <v>474</v>
      </c>
      <c r="J8">
        <v>6304</v>
      </c>
      <c r="K8">
        <v>55259</v>
      </c>
      <c r="L8">
        <v>91</v>
      </c>
      <c r="M8">
        <v>2389</v>
      </c>
      <c r="N8">
        <v>831</v>
      </c>
      <c r="O8">
        <v>59330</v>
      </c>
      <c r="P8">
        <v>3</v>
      </c>
    </row>
    <row r="9" spans="1:16" x14ac:dyDescent="0.3">
      <c r="A9" s="3" t="s">
        <v>386</v>
      </c>
      <c r="B9" s="3">
        <v>45339</v>
      </c>
      <c r="C9">
        <v>2024</v>
      </c>
      <c r="D9" t="str">
        <f t="shared" si="0"/>
        <v>February</v>
      </c>
      <c r="E9" t="str">
        <f t="shared" si="1"/>
        <v>Saturday</v>
      </c>
      <c r="F9" s="4">
        <v>0.18680555555555556</v>
      </c>
      <c r="G9" s="4" t="str">
        <f t="shared" si="2"/>
        <v>4:00 AM – 5:00 AM</v>
      </c>
      <c r="H9">
        <v>182</v>
      </c>
      <c r="I9">
        <v>126</v>
      </c>
      <c r="J9">
        <v>3487</v>
      </c>
      <c r="K9">
        <v>31325</v>
      </c>
      <c r="L9">
        <v>10</v>
      </c>
      <c r="M9">
        <v>1051</v>
      </c>
      <c r="N9">
        <v>662</v>
      </c>
      <c r="O9">
        <v>33118</v>
      </c>
      <c r="P9">
        <v>1</v>
      </c>
    </row>
    <row r="10" spans="1:16" x14ac:dyDescent="0.3">
      <c r="A10" s="3" t="s">
        <v>350</v>
      </c>
      <c r="B10" s="3">
        <v>45375</v>
      </c>
      <c r="C10">
        <v>2024</v>
      </c>
      <c r="D10" t="str">
        <f t="shared" si="0"/>
        <v>March</v>
      </c>
      <c r="E10" t="str">
        <f t="shared" si="1"/>
        <v>Sunday</v>
      </c>
      <c r="F10" s="4">
        <v>0.24027777777777778</v>
      </c>
      <c r="G10" s="4" t="str">
        <f t="shared" si="2"/>
        <v>5:00 AM – 6:00 AM</v>
      </c>
      <c r="H10">
        <v>218</v>
      </c>
      <c r="I10">
        <v>163</v>
      </c>
      <c r="J10">
        <v>3011</v>
      </c>
      <c r="K10">
        <v>56349</v>
      </c>
      <c r="L10">
        <v>60</v>
      </c>
      <c r="M10">
        <v>2261</v>
      </c>
      <c r="N10">
        <v>1185</v>
      </c>
      <c r="O10">
        <v>59530</v>
      </c>
      <c r="P10">
        <v>4</v>
      </c>
    </row>
    <row r="11" spans="1:16" x14ac:dyDescent="0.3">
      <c r="A11" s="3" t="s">
        <v>46</v>
      </c>
      <c r="B11" s="3">
        <v>45678</v>
      </c>
      <c r="C11">
        <v>2025</v>
      </c>
      <c r="D11" t="str">
        <f t="shared" si="0"/>
        <v>January</v>
      </c>
      <c r="E11" t="str">
        <f t="shared" si="1"/>
        <v>Tuesday</v>
      </c>
      <c r="F11" s="4">
        <v>0.57499999999999996</v>
      </c>
      <c r="G11" s="4" t="str">
        <f t="shared" si="2"/>
        <v>1:00 PM – 2:00 PM</v>
      </c>
      <c r="H11">
        <v>522</v>
      </c>
      <c r="I11">
        <v>1286</v>
      </c>
      <c r="J11">
        <v>1894</v>
      </c>
      <c r="K11">
        <v>28169</v>
      </c>
      <c r="L11">
        <v>8</v>
      </c>
      <c r="M11">
        <v>2556</v>
      </c>
      <c r="N11">
        <v>244</v>
      </c>
      <c r="O11">
        <v>28341</v>
      </c>
      <c r="P11">
        <v>1</v>
      </c>
    </row>
    <row r="12" spans="1:16" x14ac:dyDescent="0.3">
      <c r="A12" s="3" t="s">
        <v>143</v>
      </c>
      <c r="B12" s="3">
        <v>45581</v>
      </c>
      <c r="C12">
        <v>2024</v>
      </c>
      <c r="D12" t="str">
        <f t="shared" si="0"/>
        <v>October</v>
      </c>
      <c r="E12" t="str">
        <f t="shared" si="1"/>
        <v>Wednesday</v>
      </c>
      <c r="F12" s="4">
        <v>0.31041666666666667</v>
      </c>
      <c r="G12" s="4" t="str">
        <f t="shared" si="2"/>
        <v>7:00 AM – 8:00 AM</v>
      </c>
      <c r="H12">
        <v>425</v>
      </c>
      <c r="I12">
        <v>743</v>
      </c>
      <c r="J12">
        <v>1039</v>
      </c>
      <c r="K12">
        <v>19124</v>
      </c>
      <c r="L12">
        <v>20</v>
      </c>
      <c r="M12">
        <v>675</v>
      </c>
      <c r="N12">
        <v>241</v>
      </c>
      <c r="O12">
        <v>19592</v>
      </c>
      <c r="P12">
        <v>-1</v>
      </c>
    </row>
    <row r="13" spans="1:16" x14ac:dyDescent="0.3">
      <c r="A13" s="3" t="s">
        <v>94</v>
      </c>
      <c r="B13" s="3">
        <v>45630</v>
      </c>
      <c r="C13">
        <v>2024</v>
      </c>
      <c r="D13" t="str">
        <f t="shared" si="0"/>
        <v>December</v>
      </c>
      <c r="E13" t="str">
        <f t="shared" si="1"/>
        <v>Wednesday</v>
      </c>
      <c r="F13" s="4">
        <v>0.85833333333333328</v>
      </c>
      <c r="G13" s="4" t="str">
        <f t="shared" si="2"/>
        <v>8:00 PM – 9:00 PM</v>
      </c>
      <c r="H13">
        <v>474</v>
      </c>
      <c r="I13">
        <v>785</v>
      </c>
      <c r="J13">
        <v>758</v>
      </c>
      <c r="K13">
        <v>7307</v>
      </c>
      <c r="L13">
        <v>8</v>
      </c>
      <c r="M13">
        <v>518</v>
      </c>
      <c r="N13">
        <v>44</v>
      </c>
      <c r="O13">
        <v>7339</v>
      </c>
      <c r="P13">
        <v>3</v>
      </c>
    </row>
    <row r="14" spans="1:16" x14ac:dyDescent="0.3">
      <c r="A14" s="3" t="s">
        <v>272</v>
      </c>
      <c r="B14" s="3">
        <v>45452</v>
      </c>
      <c r="C14">
        <v>2024</v>
      </c>
      <c r="D14" t="str">
        <f t="shared" si="0"/>
        <v>June</v>
      </c>
      <c r="E14" t="str">
        <f t="shared" si="1"/>
        <v>Sunday</v>
      </c>
      <c r="F14" s="4">
        <v>0.27430555555555558</v>
      </c>
      <c r="G14" s="4" t="str">
        <f t="shared" si="2"/>
        <v>6:00 AM – 7:00 AM</v>
      </c>
      <c r="H14">
        <v>296</v>
      </c>
      <c r="I14">
        <v>516</v>
      </c>
      <c r="J14">
        <v>694</v>
      </c>
      <c r="K14">
        <v>7762</v>
      </c>
      <c r="L14">
        <v>25</v>
      </c>
      <c r="M14">
        <v>166</v>
      </c>
      <c r="N14">
        <v>208</v>
      </c>
      <c r="O14">
        <v>8849</v>
      </c>
      <c r="P14">
        <v>2</v>
      </c>
    </row>
    <row r="15" spans="1:16" x14ac:dyDescent="0.3">
      <c r="A15" s="3" t="s">
        <v>375</v>
      </c>
      <c r="B15" s="3">
        <v>45350</v>
      </c>
      <c r="C15">
        <v>2024</v>
      </c>
      <c r="D15" t="str">
        <f t="shared" si="0"/>
        <v>February</v>
      </c>
      <c r="E15" t="str">
        <f t="shared" si="1"/>
        <v>Wednesday</v>
      </c>
      <c r="F15" s="4">
        <v>0.2048611111111111</v>
      </c>
      <c r="G15" s="4" t="str">
        <f t="shared" si="2"/>
        <v>4:00 AM – 5:00 AM</v>
      </c>
      <c r="H15">
        <v>193</v>
      </c>
      <c r="I15">
        <v>129</v>
      </c>
      <c r="J15">
        <v>350</v>
      </c>
      <c r="K15">
        <v>9308</v>
      </c>
      <c r="L15">
        <v>12</v>
      </c>
      <c r="M15">
        <v>373</v>
      </c>
      <c r="N15">
        <v>45</v>
      </c>
      <c r="O15">
        <v>9411</v>
      </c>
      <c r="P15">
        <v>-2</v>
      </c>
    </row>
    <row r="16" spans="1:16" x14ac:dyDescent="0.3">
      <c r="A16" s="3" t="s">
        <v>339</v>
      </c>
      <c r="B16" s="3">
        <v>45385</v>
      </c>
      <c r="C16">
        <v>2024</v>
      </c>
      <c r="D16" t="str">
        <f t="shared" si="0"/>
        <v>April</v>
      </c>
      <c r="E16" t="str">
        <f t="shared" si="1"/>
        <v>Wednesday</v>
      </c>
      <c r="F16" s="4">
        <v>0.21805555555555556</v>
      </c>
      <c r="G16" s="4" t="str">
        <f t="shared" si="2"/>
        <v>5:00 AM – 6:00 AM</v>
      </c>
      <c r="H16">
        <v>229</v>
      </c>
      <c r="I16">
        <v>305</v>
      </c>
      <c r="J16">
        <v>332</v>
      </c>
      <c r="K16">
        <v>6793</v>
      </c>
      <c r="L16">
        <v>8</v>
      </c>
      <c r="M16">
        <v>152</v>
      </c>
      <c r="N16">
        <v>180</v>
      </c>
      <c r="O16">
        <v>7010</v>
      </c>
      <c r="P16">
        <v>13</v>
      </c>
    </row>
    <row r="17" spans="1:16" x14ac:dyDescent="0.3">
      <c r="A17" s="3" t="s">
        <v>361</v>
      </c>
      <c r="B17" s="3">
        <v>45364</v>
      </c>
      <c r="C17">
        <v>2024</v>
      </c>
      <c r="D17" t="str">
        <f t="shared" si="0"/>
        <v>March</v>
      </c>
      <c r="E17" t="str">
        <f t="shared" si="1"/>
        <v>Wednesday</v>
      </c>
      <c r="F17" s="4">
        <v>0.21666666666666667</v>
      </c>
      <c r="G17" s="4" t="str">
        <f t="shared" si="2"/>
        <v>5:00 AM – 6:00 AM</v>
      </c>
      <c r="H17">
        <v>207</v>
      </c>
      <c r="I17">
        <v>139</v>
      </c>
      <c r="J17">
        <v>273</v>
      </c>
      <c r="K17">
        <v>3595</v>
      </c>
      <c r="L17">
        <v>5</v>
      </c>
      <c r="M17">
        <v>91</v>
      </c>
      <c r="N17">
        <v>113</v>
      </c>
      <c r="O17">
        <v>3775</v>
      </c>
      <c r="P17">
        <v>1</v>
      </c>
    </row>
    <row r="18" spans="1:16" x14ac:dyDescent="0.3">
      <c r="A18" s="3" t="s">
        <v>80</v>
      </c>
      <c r="B18" s="3">
        <v>45644</v>
      </c>
      <c r="C18">
        <v>2024</v>
      </c>
      <c r="D18" t="str">
        <f t="shared" si="0"/>
        <v>December</v>
      </c>
      <c r="E18" t="str">
        <f t="shared" si="1"/>
        <v>Wednesday</v>
      </c>
      <c r="F18" s="4">
        <v>0.50069444444444444</v>
      </c>
      <c r="G18" s="4" t="str">
        <f t="shared" si="2"/>
        <v>12:00 PM – 1:00 PM</v>
      </c>
      <c r="H18">
        <v>488</v>
      </c>
      <c r="I18">
        <v>790</v>
      </c>
      <c r="J18">
        <v>218</v>
      </c>
      <c r="K18">
        <v>1910</v>
      </c>
      <c r="L18">
        <v>10</v>
      </c>
      <c r="M18">
        <v>43</v>
      </c>
      <c r="N18">
        <v>23</v>
      </c>
      <c r="O18">
        <v>1940</v>
      </c>
      <c r="P18">
        <v>-1</v>
      </c>
    </row>
    <row r="19" spans="1:16" x14ac:dyDescent="0.3">
      <c r="A19" s="3" t="s">
        <v>95</v>
      </c>
      <c r="B19" s="3">
        <v>45629</v>
      </c>
      <c r="C19">
        <v>2024</v>
      </c>
      <c r="D19" t="str">
        <f t="shared" si="0"/>
        <v>December</v>
      </c>
      <c r="E19" t="str">
        <f t="shared" si="1"/>
        <v>Tuesday</v>
      </c>
      <c r="F19" s="4">
        <v>0.47430555555555554</v>
      </c>
      <c r="G19" s="4" t="str">
        <f t="shared" si="2"/>
        <v>11:00 AM – 12:00 PM</v>
      </c>
      <c r="H19">
        <v>473</v>
      </c>
      <c r="I19">
        <v>782</v>
      </c>
      <c r="J19">
        <v>208</v>
      </c>
      <c r="K19">
        <v>1415</v>
      </c>
      <c r="L19">
        <v>1</v>
      </c>
      <c r="M19">
        <v>57</v>
      </c>
      <c r="N19">
        <v>8</v>
      </c>
      <c r="O19">
        <v>1429</v>
      </c>
      <c r="P19">
        <v>2</v>
      </c>
    </row>
    <row r="20" spans="1:16" x14ac:dyDescent="0.3">
      <c r="A20" s="3" t="s">
        <v>263</v>
      </c>
      <c r="B20" s="3">
        <v>45461</v>
      </c>
      <c r="C20">
        <v>2024</v>
      </c>
      <c r="D20" t="str">
        <f t="shared" si="0"/>
        <v>June</v>
      </c>
      <c r="E20" t="str">
        <f t="shared" si="1"/>
        <v>Tuesday</v>
      </c>
      <c r="F20" s="4">
        <v>0.27430555555555558</v>
      </c>
      <c r="G20" s="4" t="str">
        <f t="shared" si="2"/>
        <v>6:00 AM – 7:00 AM</v>
      </c>
      <c r="H20">
        <v>305</v>
      </c>
      <c r="I20">
        <v>521</v>
      </c>
      <c r="J20">
        <v>194</v>
      </c>
      <c r="K20">
        <v>1716</v>
      </c>
      <c r="L20">
        <v>3</v>
      </c>
      <c r="M20">
        <v>58</v>
      </c>
      <c r="N20">
        <v>15</v>
      </c>
      <c r="O20">
        <v>1960</v>
      </c>
      <c r="P20">
        <v>2</v>
      </c>
    </row>
    <row r="21" spans="1:16" x14ac:dyDescent="0.3">
      <c r="A21" s="3" t="s">
        <v>102</v>
      </c>
      <c r="B21" s="3">
        <v>45622</v>
      </c>
      <c r="C21">
        <v>2024</v>
      </c>
      <c r="D21" t="str">
        <f t="shared" si="0"/>
        <v>November</v>
      </c>
      <c r="E21" t="str">
        <f t="shared" si="1"/>
        <v>Tuesday</v>
      </c>
      <c r="F21" s="4">
        <v>0.55694444444444446</v>
      </c>
      <c r="G21" s="4" t="str">
        <f t="shared" si="2"/>
        <v>1:00 PM – 2:00 PM</v>
      </c>
      <c r="H21">
        <v>466</v>
      </c>
      <c r="I21">
        <v>778</v>
      </c>
      <c r="J21">
        <v>181</v>
      </c>
      <c r="K21">
        <v>1900</v>
      </c>
      <c r="L21">
        <v>10</v>
      </c>
      <c r="M21">
        <v>102</v>
      </c>
      <c r="N21">
        <v>13</v>
      </c>
      <c r="O21">
        <v>1839</v>
      </c>
      <c r="P21">
        <v>2</v>
      </c>
    </row>
    <row r="22" spans="1:16" x14ac:dyDescent="0.3">
      <c r="A22" s="3" t="s">
        <v>353</v>
      </c>
      <c r="B22" s="3">
        <v>45372</v>
      </c>
      <c r="C22">
        <v>2024</v>
      </c>
      <c r="D22" t="str">
        <f t="shared" si="0"/>
        <v>March</v>
      </c>
      <c r="E22" t="str">
        <f t="shared" si="1"/>
        <v>Thursday</v>
      </c>
      <c r="F22" s="4">
        <v>0.37708333333333333</v>
      </c>
      <c r="G22" s="4" t="str">
        <f t="shared" si="2"/>
        <v>9:00 AM – 10:00 AM</v>
      </c>
      <c r="H22">
        <v>215</v>
      </c>
      <c r="I22">
        <v>153</v>
      </c>
      <c r="J22">
        <v>178</v>
      </c>
      <c r="K22">
        <v>1528</v>
      </c>
      <c r="L22">
        <v>2</v>
      </c>
      <c r="M22">
        <v>41</v>
      </c>
      <c r="N22">
        <v>13</v>
      </c>
      <c r="O22">
        <v>1583</v>
      </c>
      <c r="P22">
        <v>8</v>
      </c>
    </row>
    <row r="23" spans="1:16" x14ac:dyDescent="0.3">
      <c r="A23" s="3" t="s">
        <v>30</v>
      </c>
      <c r="B23" s="3">
        <v>45694</v>
      </c>
      <c r="C23">
        <v>2025</v>
      </c>
      <c r="D23" t="str">
        <f t="shared" si="0"/>
        <v>February</v>
      </c>
      <c r="E23" t="str">
        <f t="shared" si="1"/>
        <v>Thursday</v>
      </c>
      <c r="F23" s="4">
        <v>0.63194444444444442</v>
      </c>
      <c r="G23" s="4" t="str">
        <f t="shared" si="2"/>
        <v>3:00 PM – 4:00 PM</v>
      </c>
      <c r="H23">
        <v>538</v>
      </c>
      <c r="I23">
        <v>1295</v>
      </c>
      <c r="J23">
        <v>169</v>
      </c>
      <c r="K23">
        <v>1466</v>
      </c>
      <c r="L23">
        <v>4</v>
      </c>
      <c r="M23">
        <v>36</v>
      </c>
      <c r="N23">
        <v>28</v>
      </c>
      <c r="O23">
        <v>1486</v>
      </c>
      <c r="P23">
        <v>-1</v>
      </c>
    </row>
    <row r="24" spans="1:16" x14ac:dyDescent="0.3">
      <c r="A24" s="3" t="s">
        <v>258</v>
      </c>
      <c r="B24" s="3">
        <v>45466</v>
      </c>
      <c r="C24">
        <v>2024</v>
      </c>
      <c r="D24" t="str">
        <f t="shared" si="0"/>
        <v>June</v>
      </c>
      <c r="E24" t="str">
        <f t="shared" si="1"/>
        <v>Sunday</v>
      </c>
      <c r="F24" s="4">
        <v>0.27500000000000002</v>
      </c>
      <c r="G24" s="4" t="str">
        <f t="shared" si="2"/>
        <v>6:00 AM – 7:00 AM</v>
      </c>
      <c r="H24">
        <v>310</v>
      </c>
      <c r="I24">
        <v>523</v>
      </c>
      <c r="J24">
        <v>163</v>
      </c>
      <c r="K24">
        <v>1044</v>
      </c>
      <c r="L24">
        <v>1</v>
      </c>
      <c r="M24">
        <v>17</v>
      </c>
      <c r="N24">
        <v>18</v>
      </c>
      <c r="O24">
        <v>1270</v>
      </c>
      <c r="P24">
        <v>1</v>
      </c>
    </row>
    <row r="25" spans="1:16" x14ac:dyDescent="0.3">
      <c r="A25" s="3" t="s">
        <v>458</v>
      </c>
      <c r="B25" s="3">
        <v>45268</v>
      </c>
      <c r="C25">
        <v>2023</v>
      </c>
      <c r="D25" t="str">
        <f t="shared" si="0"/>
        <v>December</v>
      </c>
      <c r="E25" t="str">
        <f t="shared" si="1"/>
        <v>Friday</v>
      </c>
      <c r="F25" s="4">
        <v>0.27638888888888891</v>
      </c>
      <c r="G25" s="4" t="str">
        <f t="shared" si="2"/>
        <v>6:00 AM – 7:00 AM</v>
      </c>
      <c r="H25">
        <v>108</v>
      </c>
      <c r="I25">
        <v>29</v>
      </c>
      <c r="J25">
        <v>161</v>
      </c>
      <c r="K25">
        <v>1925</v>
      </c>
      <c r="L25">
        <v>3</v>
      </c>
      <c r="M25">
        <v>49</v>
      </c>
      <c r="N25">
        <v>16</v>
      </c>
      <c r="O25">
        <v>1999</v>
      </c>
      <c r="P25">
        <v>0</v>
      </c>
    </row>
    <row r="26" spans="1:16" x14ac:dyDescent="0.3">
      <c r="A26" s="3" t="s">
        <v>124</v>
      </c>
      <c r="B26" s="3">
        <v>45600</v>
      </c>
      <c r="C26">
        <v>2024</v>
      </c>
      <c r="D26" t="str">
        <f t="shared" si="0"/>
        <v>November</v>
      </c>
      <c r="E26" t="str">
        <f t="shared" si="1"/>
        <v>Monday</v>
      </c>
      <c r="F26" s="4">
        <v>0.47152777777777777</v>
      </c>
      <c r="G26" s="4" t="str">
        <f t="shared" si="2"/>
        <v>11:00 AM – 12:00 PM</v>
      </c>
      <c r="H26">
        <v>444</v>
      </c>
      <c r="I26">
        <v>770</v>
      </c>
      <c r="J26">
        <v>158</v>
      </c>
      <c r="K26">
        <v>1401</v>
      </c>
      <c r="L26">
        <v>2</v>
      </c>
      <c r="M26">
        <v>68</v>
      </c>
      <c r="N26">
        <v>13</v>
      </c>
      <c r="O26">
        <v>1397</v>
      </c>
      <c r="P26">
        <v>1</v>
      </c>
    </row>
    <row r="27" spans="1:16" x14ac:dyDescent="0.3">
      <c r="A27" s="3" t="s">
        <v>406</v>
      </c>
      <c r="B27" s="3">
        <v>45319</v>
      </c>
      <c r="C27">
        <v>2024</v>
      </c>
      <c r="D27" t="str">
        <f t="shared" si="0"/>
        <v>January</v>
      </c>
      <c r="E27" t="str">
        <f t="shared" si="1"/>
        <v>Sunday</v>
      </c>
      <c r="F27" s="4">
        <v>0.14166666666666666</v>
      </c>
      <c r="G27" s="4" t="str">
        <f t="shared" si="2"/>
        <v>3:00 AM – 4:00 AM</v>
      </c>
      <c r="H27">
        <v>162</v>
      </c>
      <c r="I27">
        <v>121</v>
      </c>
      <c r="J27">
        <v>157</v>
      </c>
      <c r="K27">
        <v>2363</v>
      </c>
      <c r="L27">
        <v>12</v>
      </c>
      <c r="M27">
        <v>21</v>
      </c>
      <c r="N27">
        <v>9</v>
      </c>
      <c r="O27">
        <v>2424</v>
      </c>
      <c r="P27">
        <v>0</v>
      </c>
    </row>
    <row r="28" spans="1:16" x14ac:dyDescent="0.3">
      <c r="A28" s="3" t="s">
        <v>83</v>
      </c>
      <c r="B28" s="3">
        <v>45641</v>
      </c>
      <c r="C28">
        <v>2024</v>
      </c>
      <c r="D28" t="str">
        <f t="shared" si="0"/>
        <v>December</v>
      </c>
      <c r="E28" t="str">
        <f t="shared" si="1"/>
        <v>Sunday</v>
      </c>
      <c r="F28" s="4">
        <v>0.52152777777777781</v>
      </c>
      <c r="G28" s="4" t="str">
        <f t="shared" si="2"/>
        <v>12:00 PM – 1:00 PM</v>
      </c>
      <c r="H28">
        <v>485</v>
      </c>
      <c r="I28">
        <v>788</v>
      </c>
      <c r="J28">
        <v>156</v>
      </c>
      <c r="K28">
        <v>1770</v>
      </c>
      <c r="L28">
        <v>2</v>
      </c>
      <c r="M28">
        <v>52</v>
      </c>
      <c r="N28">
        <v>6</v>
      </c>
      <c r="O28">
        <v>1772</v>
      </c>
      <c r="P28">
        <v>-2</v>
      </c>
    </row>
    <row r="29" spans="1:16" x14ac:dyDescent="0.3">
      <c r="A29" s="3" t="s">
        <v>334</v>
      </c>
      <c r="B29" s="3">
        <v>45390</v>
      </c>
      <c r="C29">
        <v>2024</v>
      </c>
      <c r="D29" t="str">
        <f t="shared" si="0"/>
        <v>April</v>
      </c>
      <c r="E29" t="str">
        <f t="shared" si="1"/>
        <v>Monday</v>
      </c>
      <c r="F29" s="4">
        <v>0.20347222222222222</v>
      </c>
      <c r="G29" s="4" t="str">
        <f t="shared" si="2"/>
        <v>4:00 AM – 5:00 AM</v>
      </c>
      <c r="H29">
        <v>234</v>
      </c>
      <c r="I29">
        <v>355</v>
      </c>
      <c r="J29">
        <v>155</v>
      </c>
      <c r="K29">
        <v>2118</v>
      </c>
      <c r="L29">
        <v>2</v>
      </c>
      <c r="M29">
        <v>57</v>
      </c>
      <c r="N29">
        <v>16</v>
      </c>
      <c r="O29">
        <v>2162</v>
      </c>
      <c r="P29">
        <v>5</v>
      </c>
    </row>
    <row r="30" spans="1:16" x14ac:dyDescent="0.3">
      <c r="A30" s="3" t="s">
        <v>119</v>
      </c>
      <c r="B30" s="3">
        <v>45605</v>
      </c>
      <c r="C30">
        <v>2024</v>
      </c>
      <c r="D30" t="str">
        <f t="shared" si="0"/>
        <v>November</v>
      </c>
      <c r="E30" t="str">
        <f t="shared" si="1"/>
        <v>Saturday</v>
      </c>
      <c r="F30" s="4">
        <v>0.54027777777777775</v>
      </c>
      <c r="G30" s="4" t="str">
        <f t="shared" si="2"/>
        <v>12:00 PM – 1:00 PM</v>
      </c>
      <c r="H30">
        <v>449</v>
      </c>
      <c r="I30">
        <v>771</v>
      </c>
      <c r="J30">
        <v>154</v>
      </c>
      <c r="K30">
        <v>1370</v>
      </c>
      <c r="L30">
        <v>3</v>
      </c>
      <c r="M30">
        <v>37</v>
      </c>
      <c r="N30">
        <v>5</v>
      </c>
      <c r="O30">
        <v>1375</v>
      </c>
      <c r="P30">
        <v>-1</v>
      </c>
    </row>
    <row r="31" spans="1:16" x14ac:dyDescent="0.3">
      <c r="A31" s="3" t="s">
        <v>132</v>
      </c>
      <c r="B31" s="3">
        <v>45592</v>
      </c>
      <c r="C31">
        <v>2024</v>
      </c>
      <c r="D31" t="str">
        <f t="shared" si="0"/>
        <v>October</v>
      </c>
      <c r="E31" t="str">
        <f t="shared" si="1"/>
        <v>Sunday</v>
      </c>
      <c r="F31" s="4">
        <v>0.53611111111111109</v>
      </c>
      <c r="G31" s="4" t="str">
        <f t="shared" si="2"/>
        <v>12:00 PM – 1:00 PM</v>
      </c>
      <c r="H31">
        <v>436</v>
      </c>
      <c r="I31">
        <v>761</v>
      </c>
      <c r="J31">
        <v>151</v>
      </c>
      <c r="K31">
        <v>1668</v>
      </c>
      <c r="L31">
        <v>2</v>
      </c>
      <c r="M31">
        <v>52</v>
      </c>
      <c r="N31">
        <v>13</v>
      </c>
      <c r="O31">
        <v>1715</v>
      </c>
      <c r="P31">
        <v>1</v>
      </c>
    </row>
    <row r="32" spans="1:16" x14ac:dyDescent="0.3">
      <c r="A32" s="3" t="s">
        <v>347</v>
      </c>
      <c r="B32" s="3">
        <v>45378</v>
      </c>
      <c r="C32">
        <v>2024</v>
      </c>
      <c r="D32" t="str">
        <f t="shared" si="0"/>
        <v>March</v>
      </c>
      <c r="E32" t="str">
        <f t="shared" si="1"/>
        <v>Wednesday</v>
      </c>
      <c r="F32" s="4">
        <v>0.2361111111111111</v>
      </c>
      <c r="G32" s="4" t="str">
        <f t="shared" si="2"/>
        <v>5:00 AM – 6:00 AM</v>
      </c>
      <c r="H32">
        <v>221</v>
      </c>
      <c r="I32">
        <v>185</v>
      </c>
      <c r="J32">
        <v>146</v>
      </c>
      <c r="K32">
        <v>1770</v>
      </c>
      <c r="L32">
        <v>1</v>
      </c>
      <c r="M32">
        <v>10</v>
      </c>
      <c r="N32">
        <v>14</v>
      </c>
      <c r="O32">
        <v>1739</v>
      </c>
      <c r="P32">
        <v>4</v>
      </c>
    </row>
    <row r="33" spans="1:16" x14ac:dyDescent="0.3">
      <c r="A33" s="3" t="s">
        <v>127</v>
      </c>
      <c r="B33" s="3">
        <v>45597</v>
      </c>
      <c r="C33">
        <v>2024</v>
      </c>
      <c r="D33" t="str">
        <f t="shared" si="0"/>
        <v>November</v>
      </c>
      <c r="E33" t="str">
        <f t="shared" si="1"/>
        <v>Friday</v>
      </c>
      <c r="F33" s="4">
        <v>0.28333333333333333</v>
      </c>
      <c r="G33" s="4" t="str">
        <f t="shared" si="2"/>
        <v>6:00 AM – 7:00 AM</v>
      </c>
      <c r="H33">
        <v>441</v>
      </c>
      <c r="I33">
        <v>767</v>
      </c>
      <c r="J33">
        <v>145</v>
      </c>
      <c r="K33">
        <v>1406</v>
      </c>
      <c r="L33">
        <v>7</v>
      </c>
      <c r="M33">
        <v>60</v>
      </c>
      <c r="N33">
        <v>8</v>
      </c>
      <c r="O33">
        <v>1423</v>
      </c>
      <c r="P33">
        <v>2</v>
      </c>
    </row>
    <row r="34" spans="1:16" x14ac:dyDescent="0.3">
      <c r="A34" s="3" t="s">
        <v>107</v>
      </c>
      <c r="B34" s="3">
        <v>45617</v>
      </c>
      <c r="C34">
        <v>2024</v>
      </c>
      <c r="D34" t="str">
        <f t="shared" si="0"/>
        <v>November</v>
      </c>
      <c r="E34" t="str">
        <f t="shared" si="1"/>
        <v>Thursday</v>
      </c>
      <c r="F34" s="4">
        <v>0.47291666666666665</v>
      </c>
      <c r="G34" s="4" t="str">
        <f t="shared" si="2"/>
        <v>11:00 AM – 12:00 PM</v>
      </c>
      <c r="H34">
        <v>461</v>
      </c>
      <c r="I34">
        <v>774</v>
      </c>
      <c r="J34">
        <v>140</v>
      </c>
      <c r="K34">
        <v>1503</v>
      </c>
      <c r="L34">
        <v>2</v>
      </c>
      <c r="M34">
        <v>32</v>
      </c>
      <c r="N34">
        <v>9</v>
      </c>
      <c r="O34">
        <v>1501</v>
      </c>
      <c r="P34">
        <v>1</v>
      </c>
    </row>
    <row r="35" spans="1:16" x14ac:dyDescent="0.3">
      <c r="A35" s="3" t="s">
        <v>167</v>
      </c>
      <c r="B35" s="3">
        <v>45557</v>
      </c>
      <c r="C35">
        <v>2024</v>
      </c>
      <c r="D35" t="str">
        <f t="shared" si="0"/>
        <v>September</v>
      </c>
      <c r="E35" t="str">
        <f t="shared" si="1"/>
        <v>Sunday</v>
      </c>
      <c r="F35" s="4">
        <v>0.2986111111111111</v>
      </c>
      <c r="G35" s="4" t="str">
        <f t="shared" si="2"/>
        <v>7:00 AM – 8:00 AM</v>
      </c>
      <c r="H35">
        <v>401</v>
      </c>
      <c r="I35">
        <v>660</v>
      </c>
      <c r="J35">
        <v>138</v>
      </c>
      <c r="K35">
        <v>1460</v>
      </c>
      <c r="L35">
        <v>1</v>
      </c>
      <c r="M35">
        <v>67</v>
      </c>
      <c r="N35">
        <v>12</v>
      </c>
      <c r="O35">
        <v>1468</v>
      </c>
      <c r="P35">
        <v>5</v>
      </c>
    </row>
    <row r="36" spans="1:16" x14ac:dyDescent="0.3">
      <c r="A36" s="3" t="s">
        <v>178</v>
      </c>
      <c r="B36" s="3">
        <v>45546</v>
      </c>
      <c r="C36">
        <v>2024</v>
      </c>
      <c r="D36" t="str">
        <f t="shared" si="0"/>
        <v>September</v>
      </c>
      <c r="E36" t="str">
        <f t="shared" si="1"/>
        <v>Wednesday</v>
      </c>
      <c r="F36" s="4">
        <v>0.29791666666666666</v>
      </c>
      <c r="G36" s="4" t="str">
        <f t="shared" si="2"/>
        <v>7:00 AM – 8:00 AM</v>
      </c>
      <c r="H36">
        <v>390</v>
      </c>
      <c r="I36">
        <v>631</v>
      </c>
      <c r="J36">
        <v>134</v>
      </c>
      <c r="K36">
        <v>1295</v>
      </c>
      <c r="L36">
        <v>2</v>
      </c>
      <c r="M36">
        <v>60</v>
      </c>
      <c r="N36">
        <v>8</v>
      </c>
      <c r="O36">
        <v>1343</v>
      </c>
      <c r="P36">
        <v>0</v>
      </c>
    </row>
    <row r="37" spans="1:16" x14ac:dyDescent="0.3">
      <c r="A37" s="3" t="s">
        <v>86</v>
      </c>
      <c r="B37" s="3">
        <v>45638</v>
      </c>
      <c r="C37">
        <v>2024</v>
      </c>
      <c r="D37" t="str">
        <f t="shared" si="0"/>
        <v>December</v>
      </c>
      <c r="E37" t="str">
        <f t="shared" si="1"/>
        <v>Thursday</v>
      </c>
      <c r="F37" s="4">
        <v>0.54305555555555551</v>
      </c>
      <c r="G37" s="4" t="str">
        <f t="shared" si="2"/>
        <v>1:00 PM – 2:00 PM</v>
      </c>
      <c r="H37">
        <v>482</v>
      </c>
      <c r="I37">
        <v>788</v>
      </c>
      <c r="J37">
        <v>133</v>
      </c>
      <c r="K37">
        <v>1714</v>
      </c>
      <c r="L37">
        <v>2</v>
      </c>
      <c r="M37">
        <v>28</v>
      </c>
      <c r="N37">
        <v>12</v>
      </c>
      <c r="O37">
        <v>1710</v>
      </c>
      <c r="P37">
        <v>1</v>
      </c>
    </row>
    <row r="38" spans="1:16" x14ac:dyDescent="0.3">
      <c r="A38" s="3" t="s">
        <v>228</v>
      </c>
      <c r="B38" s="3">
        <v>45496</v>
      </c>
      <c r="C38">
        <v>2024</v>
      </c>
      <c r="D38" t="str">
        <f t="shared" si="0"/>
        <v>July</v>
      </c>
      <c r="E38" t="str">
        <f t="shared" si="1"/>
        <v>Tuesday</v>
      </c>
      <c r="F38" s="4">
        <v>0.28541666666666665</v>
      </c>
      <c r="G38" s="4" t="str">
        <f t="shared" si="2"/>
        <v>6:00 AM – 7:00 AM</v>
      </c>
      <c r="H38">
        <v>340</v>
      </c>
      <c r="I38">
        <v>568</v>
      </c>
      <c r="J38">
        <v>133</v>
      </c>
      <c r="K38">
        <v>1458</v>
      </c>
      <c r="L38">
        <v>4</v>
      </c>
      <c r="M38">
        <v>111</v>
      </c>
      <c r="N38">
        <v>39</v>
      </c>
      <c r="O38">
        <v>1789</v>
      </c>
      <c r="P38">
        <v>0</v>
      </c>
    </row>
    <row r="39" spans="1:16" x14ac:dyDescent="0.3">
      <c r="A39" s="3" t="s">
        <v>43</v>
      </c>
      <c r="B39" s="3">
        <v>45681</v>
      </c>
      <c r="C39">
        <v>2025</v>
      </c>
      <c r="D39" t="str">
        <f t="shared" si="0"/>
        <v>January</v>
      </c>
      <c r="E39" t="str">
        <f t="shared" si="1"/>
        <v>Friday</v>
      </c>
      <c r="F39" s="4">
        <v>0.65555555555555556</v>
      </c>
      <c r="G39" s="4" t="str">
        <f t="shared" si="2"/>
        <v>3:00 PM – 4:00 PM</v>
      </c>
      <c r="H39">
        <v>525</v>
      </c>
      <c r="I39">
        <v>1287</v>
      </c>
      <c r="J39">
        <v>129</v>
      </c>
      <c r="K39">
        <v>1739</v>
      </c>
      <c r="L39">
        <v>7</v>
      </c>
      <c r="M39">
        <v>89</v>
      </c>
      <c r="N39">
        <v>14</v>
      </c>
      <c r="O39">
        <v>1854</v>
      </c>
      <c r="P39">
        <v>-1</v>
      </c>
    </row>
    <row r="40" spans="1:16" x14ac:dyDescent="0.3">
      <c r="A40" s="3" t="s">
        <v>264</v>
      </c>
      <c r="B40" s="3">
        <v>45460</v>
      </c>
      <c r="C40">
        <v>2024</v>
      </c>
      <c r="D40" t="str">
        <f t="shared" si="0"/>
        <v>June</v>
      </c>
      <c r="E40" t="str">
        <f t="shared" si="1"/>
        <v>Monday</v>
      </c>
      <c r="F40" s="4">
        <v>0.27777777777777779</v>
      </c>
      <c r="G40" s="4" t="str">
        <f t="shared" si="2"/>
        <v>6:00 AM – 7:00 AM</v>
      </c>
      <c r="H40">
        <v>304</v>
      </c>
      <c r="I40">
        <v>519</v>
      </c>
      <c r="J40">
        <v>129</v>
      </c>
      <c r="K40">
        <v>1027</v>
      </c>
      <c r="L40">
        <v>2</v>
      </c>
      <c r="M40">
        <v>6</v>
      </c>
      <c r="N40">
        <v>11</v>
      </c>
      <c r="O40">
        <v>1151</v>
      </c>
      <c r="P40">
        <v>-1</v>
      </c>
    </row>
    <row r="41" spans="1:16" x14ac:dyDescent="0.3">
      <c r="A41" s="3" t="s">
        <v>99</v>
      </c>
      <c r="B41" s="3">
        <v>45625</v>
      </c>
      <c r="C41">
        <v>2024</v>
      </c>
      <c r="D41" t="str">
        <f t="shared" si="0"/>
        <v>November</v>
      </c>
      <c r="E41" t="str">
        <f t="shared" si="1"/>
        <v>Friday</v>
      </c>
      <c r="F41" s="4">
        <v>0.30972222222222223</v>
      </c>
      <c r="G41" s="4" t="str">
        <f t="shared" si="2"/>
        <v>7:00 AM – 8:00 AM</v>
      </c>
      <c r="H41">
        <v>469</v>
      </c>
      <c r="I41">
        <v>780</v>
      </c>
      <c r="J41">
        <v>128</v>
      </c>
      <c r="K41">
        <v>1311</v>
      </c>
      <c r="L41">
        <v>5</v>
      </c>
      <c r="M41">
        <v>8</v>
      </c>
      <c r="N41">
        <v>8</v>
      </c>
      <c r="O41">
        <v>1272</v>
      </c>
      <c r="P41">
        <v>0</v>
      </c>
    </row>
    <row r="42" spans="1:16" x14ac:dyDescent="0.3">
      <c r="A42" s="3" t="s">
        <v>376</v>
      </c>
      <c r="B42" s="3">
        <v>45349</v>
      </c>
      <c r="C42">
        <v>2024</v>
      </c>
      <c r="D42" t="str">
        <f t="shared" si="0"/>
        <v>February</v>
      </c>
      <c r="E42" t="str">
        <f t="shared" si="1"/>
        <v>Tuesday</v>
      </c>
      <c r="F42" s="4">
        <v>0.19444444444444445</v>
      </c>
      <c r="G42" s="4" t="str">
        <f t="shared" si="2"/>
        <v>4:00 AM – 5:00 AM</v>
      </c>
      <c r="H42">
        <v>192</v>
      </c>
      <c r="I42">
        <v>131</v>
      </c>
      <c r="J42">
        <v>128</v>
      </c>
      <c r="K42">
        <v>1333</v>
      </c>
      <c r="L42">
        <v>1</v>
      </c>
      <c r="M42">
        <v>55</v>
      </c>
      <c r="N42">
        <v>13</v>
      </c>
      <c r="O42">
        <v>1353</v>
      </c>
      <c r="P42">
        <v>0</v>
      </c>
    </row>
    <row r="43" spans="1:16" x14ac:dyDescent="0.3">
      <c r="A43" s="3" t="s">
        <v>224</v>
      </c>
      <c r="B43" s="3">
        <v>45500</v>
      </c>
      <c r="C43">
        <v>2024</v>
      </c>
      <c r="D43" t="str">
        <f t="shared" si="0"/>
        <v>July</v>
      </c>
      <c r="E43" t="str">
        <f t="shared" si="1"/>
        <v>Saturday</v>
      </c>
      <c r="F43" s="4">
        <v>0.38680555555555557</v>
      </c>
      <c r="G43" s="4" t="str">
        <f t="shared" si="2"/>
        <v>9:00 AM – 10:00 AM</v>
      </c>
      <c r="H43">
        <v>344</v>
      </c>
      <c r="I43">
        <v>567</v>
      </c>
      <c r="J43">
        <v>126</v>
      </c>
      <c r="K43">
        <v>1629</v>
      </c>
      <c r="L43">
        <v>5</v>
      </c>
      <c r="M43">
        <v>45</v>
      </c>
      <c r="N43">
        <v>55</v>
      </c>
      <c r="O43">
        <v>1874</v>
      </c>
      <c r="P43">
        <v>-1</v>
      </c>
    </row>
    <row r="44" spans="1:16" x14ac:dyDescent="0.3">
      <c r="A44" s="3" t="s">
        <v>72</v>
      </c>
      <c r="B44" s="3">
        <v>45652</v>
      </c>
      <c r="C44">
        <v>2024</v>
      </c>
      <c r="D44" t="str">
        <f t="shared" si="0"/>
        <v>December</v>
      </c>
      <c r="E44" t="str">
        <f t="shared" si="1"/>
        <v>Thursday</v>
      </c>
      <c r="F44" s="4">
        <v>0.54166666666666663</v>
      </c>
      <c r="G44" s="4" t="str">
        <f t="shared" si="2"/>
        <v>1:00 PM – 2:00 PM</v>
      </c>
      <c r="H44">
        <v>496</v>
      </c>
      <c r="I44">
        <v>804</v>
      </c>
      <c r="J44">
        <v>125</v>
      </c>
      <c r="K44">
        <v>2496</v>
      </c>
      <c r="L44">
        <v>1</v>
      </c>
      <c r="M44">
        <v>94</v>
      </c>
      <c r="N44">
        <v>12</v>
      </c>
      <c r="O44">
        <v>2515</v>
      </c>
      <c r="P44">
        <v>11</v>
      </c>
    </row>
    <row r="45" spans="1:16" x14ac:dyDescent="0.3">
      <c r="A45" s="3" t="s">
        <v>351</v>
      </c>
      <c r="B45" s="3">
        <v>45374</v>
      </c>
      <c r="C45">
        <v>2024</v>
      </c>
      <c r="D45" t="str">
        <f t="shared" si="0"/>
        <v>March</v>
      </c>
      <c r="E45" t="str">
        <f t="shared" si="1"/>
        <v>Saturday</v>
      </c>
      <c r="F45" s="4">
        <v>0.18888888888888888</v>
      </c>
      <c r="G45" s="4" t="str">
        <f t="shared" si="2"/>
        <v>4:00 AM – 5:00 AM</v>
      </c>
      <c r="H45">
        <v>217</v>
      </c>
      <c r="I45">
        <v>159</v>
      </c>
      <c r="J45">
        <v>125</v>
      </c>
      <c r="K45">
        <v>1709</v>
      </c>
      <c r="L45">
        <v>3</v>
      </c>
      <c r="M45">
        <v>46</v>
      </c>
      <c r="N45">
        <v>12</v>
      </c>
      <c r="O45">
        <v>1739</v>
      </c>
      <c r="P45">
        <v>4</v>
      </c>
    </row>
    <row r="46" spans="1:16" x14ac:dyDescent="0.3">
      <c r="A46" s="3" t="s">
        <v>267</v>
      </c>
      <c r="B46" s="3">
        <v>45457</v>
      </c>
      <c r="C46">
        <v>2024</v>
      </c>
      <c r="D46" t="str">
        <f t="shared" si="0"/>
        <v>June</v>
      </c>
      <c r="E46" t="str">
        <f t="shared" si="1"/>
        <v>Friday</v>
      </c>
      <c r="F46" s="4">
        <v>0.27361111111111114</v>
      </c>
      <c r="G46" s="4" t="str">
        <f t="shared" si="2"/>
        <v>6:00 AM – 7:00 AM</v>
      </c>
      <c r="H46">
        <v>301</v>
      </c>
      <c r="I46">
        <v>519</v>
      </c>
      <c r="J46">
        <v>124</v>
      </c>
      <c r="K46">
        <v>1175</v>
      </c>
      <c r="L46">
        <v>2</v>
      </c>
      <c r="M46">
        <v>11</v>
      </c>
      <c r="N46">
        <v>31</v>
      </c>
      <c r="O46">
        <v>1319</v>
      </c>
      <c r="P46">
        <v>0</v>
      </c>
    </row>
    <row r="47" spans="1:16" x14ac:dyDescent="0.3">
      <c r="A47" s="3" t="s">
        <v>479</v>
      </c>
      <c r="B47" s="3">
        <v>45247</v>
      </c>
      <c r="C47">
        <v>2023</v>
      </c>
      <c r="D47" t="str">
        <f t="shared" si="0"/>
        <v>November</v>
      </c>
      <c r="E47" t="str">
        <f t="shared" si="1"/>
        <v>Friday</v>
      </c>
      <c r="F47" s="4">
        <v>0.11874999999999999</v>
      </c>
      <c r="G47" s="4" t="str">
        <f t="shared" si="2"/>
        <v>2:00 AM – 3:00 AM</v>
      </c>
      <c r="H47">
        <v>87</v>
      </c>
      <c r="I47">
        <v>27</v>
      </c>
      <c r="J47">
        <v>123</v>
      </c>
      <c r="K47">
        <v>1100</v>
      </c>
      <c r="L47">
        <v>1</v>
      </c>
      <c r="M47">
        <v>6</v>
      </c>
      <c r="N47">
        <v>9</v>
      </c>
      <c r="O47">
        <v>1133</v>
      </c>
      <c r="P47">
        <v>0</v>
      </c>
    </row>
    <row r="48" spans="1:16" x14ac:dyDescent="0.3">
      <c r="A48" s="3" t="s">
        <v>204</v>
      </c>
      <c r="B48" s="3">
        <v>45520</v>
      </c>
      <c r="C48">
        <v>2024</v>
      </c>
      <c r="D48" t="str">
        <f t="shared" si="0"/>
        <v>August</v>
      </c>
      <c r="E48" t="str">
        <f t="shared" si="1"/>
        <v>Friday</v>
      </c>
      <c r="F48" s="4">
        <v>0.28680555555555554</v>
      </c>
      <c r="G48" s="4" t="str">
        <f t="shared" si="2"/>
        <v>6:00 AM – 7:00 AM</v>
      </c>
      <c r="H48">
        <v>364</v>
      </c>
      <c r="I48">
        <v>570</v>
      </c>
      <c r="J48">
        <v>122</v>
      </c>
      <c r="K48">
        <v>1203</v>
      </c>
      <c r="L48">
        <v>4</v>
      </c>
      <c r="M48">
        <v>38</v>
      </c>
      <c r="N48">
        <v>18</v>
      </c>
      <c r="O48">
        <v>1333</v>
      </c>
      <c r="P48">
        <v>1</v>
      </c>
    </row>
    <row r="49" spans="1:16" x14ac:dyDescent="0.3">
      <c r="A49" s="3" t="s">
        <v>38</v>
      </c>
      <c r="B49" s="3">
        <v>45686</v>
      </c>
      <c r="C49">
        <v>2025</v>
      </c>
      <c r="D49" t="str">
        <f t="shared" si="0"/>
        <v>January</v>
      </c>
      <c r="E49" t="str">
        <f t="shared" si="1"/>
        <v>Wednesday</v>
      </c>
      <c r="F49" s="4">
        <v>0.63263888888888886</v>
      </c>
      <c r="G49" s="4" t="str">
        <f t="shared" si="2"/>
        <v>3:00 PM – 4:00 PM</v>
      </c>
      <c r="H49">
        <v>530</v>
      </c>
      <c r="I49">
        <v>1292</v>
      </c>
      <c r="J49">
        <v>121</v>
      </c>
      <c r="K49">
        <v>1189</v>
      </c>
      <c r="L49">
        <v>1</v>
      </c>
      <c r="M49">
        <v>26</v>
      </c>
      <c r="N49">
        <v>12</v>
      </c>
      <c r="O49">
        <v>1211</v>
      </c>
      <c r="P49">
        <v>0</v>
      </c>
    </row>
    <row r="50" spans="1:16" x14ac:dyDescent="0.3">
      <c r="A50" s="3" t="s">
        <v>387</v>
      </c>
      <c r="B50" s="3">
        <v>45338</v>
      </c>
      <c r="C50">
        <v>2024</v>
      </c>
      <c r="D50" t="str">
        <f t="shared" si="0"/>
        <v>February</v>
      </c>
      <c r="E50" t="str">
        <f t="shared" si="1"/>
        <v>Friday</v>
      </c>
      <c r="F50" s="4">
        <v>0.13958333333333334</v>
      </c>
      <c r="G50" s="4" t="str">
        <f t="shared" si="2"/>
        <v>3:00 AM – 4:00 AM</v>
      </c>
      <c r="H50">
        <v>181</v>
      </c>
      <c r="I50">
        <v>125</v>
      </c>
      <c r="J50">
        <v>121</v>
      </c>
      <c r="K50">
        <v>1507</v>
      </c>
      <c r="L50">
        <v>3</v>
      </c>
      <c r="M50">
        <v>24</v>
      </c>
      <c r="N50">
        <v>38</v>
      </c>
      <c r="O50">
        <v>1593</v>
      </c>
      <c r="P50">
        <v>0</v>
      </c>
    </row>
    <row r="51" spans="1:16" x14ac:dyDescent="0.3">
      <c r="A51" s="3" t="s">
        <v>91</v>
      </c>
      <c r="B51" s="3">
        <v>45633</v>
      </c>
      <c r="C51">
        <v>2024</v>
      </c>
      <c r="D51" t="str">
        <f t="shared" si="0"/>
        <v>December</v>
      </c>
      <c r="E51" t="str">
        <f t="shared" si="1"/>
        <v>Saturday</v>
      </c>
      <c r="F51" s="4">
        <v>0.28958333333333336</v>
      </c>
      <c r="G51" s="4" t="str">
        <f t="shared" si="2"/>
        <v>6:00 AM – 7:00 AM</v>
      </c>
      <c r="H51">
        <v>477</v>
      </c>
      <c r="I51">
        <v>787</v>
      </c>
      <c r="J51">
        <v>120</v>
      </c>
      <c r="K51">
        <v>1597</v>
      </c>
      <c r="L51">
        <v>1</v>
      </c>
      <c r="M51">
        <v>53</v>
      </c>
      <c r="N51">
        <v>15</v>
      </c>
      <c r="O51">
        <v>1669</v>
      </c>
      <c r="P51">
        <v>1</v>
      </c>
    </row>
    <row r="52" spans="1:16" x14ac:dyDescent="0.3">
      <c r="A52" s="3" t="s">
        <v>331</v>
      </c>
      <c r="B52" s="3">
        <v>45393</v>
      </c>
      <c r="C52">
        <v>2024</v>
      </c>
      <c r="D52" t="str">
        <f t="shared" si="0"/>
        <v>April</v>
      </c>
      <c r="E52" t="str">
        <f t="shared" si="1"/>
        <v>Thursday</v>
      </c>
      <c r="F52" s="4">
        <v>0.25347222222222221</v>
      </c>
      <c r="G52" s="4" t="str">
        <f t="shared" si="2"/>
        <v>6:00 AM – 7:00 AM</v>
      </c>
      <c r="H52">
        <v>237</v>
      </c>
      <c r="I52">
        <v>380</v>
      </c>
      <c r="J52">
        <v>119</v>
      </c>
      <c r="K52">
        <v>2591</v>
      </c>
      <c r="L52">
        <v>7</v>
      </c>
      <c r="M52">
        <v>73</v>
      </c>
      <c r="N52">
        <v>90</v>
      </c>
      <c r="O52">
        <v>2784</v>
      </c>
      <c r="P52">
        <v>11</v>
      </c>
    </row>
    <row r="53" spans="1:16" x14ac:dyDescent="0.3">
      <c r="A53" s="3" t="s">
        <v>168</v>
      </c>
      <c r="B53" s="3">
        <v>45556</v>
      </c>
      <c r="C53">
        <v>2024</v>
      </c>
      <c r="D53" t="str">
        <f t="shared" si="0"/>
        <v>September</v>
      </c>
      <c r="E53" t="str">
        <f t="shared" si="1"/>
        <v>Saturday</v>
      </c>
      <c r="F53" s="4">
        <v>0.28263888888888888</v>
      </c>
      <c r="G53" s="4" t="str">
        <f t="shared" si="2"/>
        <v>6:00 AM – 7:00 AM</v>
      </c>
      <c r="H53">
        <v>400</v>
      </c>
      <c r="I53">
        <v>655</v>
      </c>
      <c r="J53">
        <v>116</v>
      </c>
      <c r="K53">
        <v>1698</v>
      </c>
      <c r="L53">
        <v>1</v>
      </c>
      <c r="M53">
        <v>75</v>
      </c>
      <c r="N53">
        <v>13</v>
      </c>
      <c r="O53">
        <v>1708</v>
      </c>
      <c r="P53">
        <v>-2</v>
      </c>
    </row>
    <row r="54" spans="1:16" x14ac:dyDescent="0.3">
      <c r="A54" s="3" t="s">
        <v>424</v>
      </c>
      <c r="B54" s="3">
        <v>45301</v>
      </c>
      <c r="C54">
        <v>2024</v>
      </c>
      <c r="D54" t="str">
        <f t="shared" si="0"/>
        <v>January</v>
      </c>
      <c r="E54" t="str">
        <f t="shared" si="1"/>
        <v>Wednesday</v>
      </c>
      <c r="F54" s="4">
        <v>0.20972222222222223</v>
      </c>
      <c r="G54" s="4" t="str">
        <f t="shared" si="2"/>
        <v>5:00 AM – 6:00 AM</v>
      </c>
      <c r="H54">
        <v>144</v>
      </c>
      <c r="I54">
        <v>80</v>
      </c>
      <c r="J54">
        <v>116</v>
      </c>
      <c r="K54">
        <v>1882</v>
      </c>
      <c r="L54">
        <v>6</v>
      </c>
      <c r="M54">
        <v>22</v>
      </c>
      <c r="N54">
        <v>7</v>
      </c>
      <c r="O54">
        <v>1871</v>
      </c>
      <c r="P54">
        <v>13</v>
      </c>
    </row>
    <row r="55" spans="1:16" x14ac:dyDescent="0.3">
      <c r="A55" s="3" t="s">
        <v>76</v>
      </c>
      <c r="B55" s="3">
        <v>45648</v>
      </c>
      <c r="C55">
        <v>2024</v>
      </c>
      <c r="D55" t="str">
        <f t="shared" si="0"/>
        <v>December</v>
      </c>
      <c r="E55" t="str">
        <f t="shared" si="1"/>
        <v>Sunday</v>
      </c>
      <c r="F55" s="4">
        <v>0.53680555555555554</v>
      </c>
      <c r="G55" s="4" t="str">
        <f t="shared" si="2"/>
        <v>12:00 PM – 1:00 PM</v>
      </c>
      <c r="H55">
        <v>492</v>
      </c>
      <c r="I55">
        <v>798</v>
      </c>
      <c r="J55">
        <v>115</v>
      </c>
      <c r="K55">
        <v>2190</v>
      </c>
      <c r="L55">
        <v>6</v>
      </c>
      <c r="M55">
        <v>83</v>
      </c>
      <c r="N55">
        <v>23</v>
      </c>
      <c r="O55">
        <v>2257</v>
      </c>
      <c r="P55">
        <v>1</v>
      </c>
    </row>
    <row r="56" spans="1:16" x14ac:dyDescent="0.3">
      <c r="A56" s="3" t="s">
        <v>344</v>
      </c>
      <c r="B56" s="3">
        <v>45380</v>
      </c>
      <c r="C56">
        <v>2024</v>
      </c>
      <c r="D56" t="str">
        <f t="shared" si="0"/>
        <v>March</v>
      </c>
      <c r="E56" t="str">
        <f t="shared" si="1"/>
        <v>Friday</v>
      </c>
      <c r="F56" s="4">
        <v>0.16805555555555557</v>
      </c>
      <c r="G56" s="4" t="str">
        <f t="shared" si="2"/>
        <v>4:00 AM – 5:00 AM</v>
      </c>
      <c r="H56">
        <v>224</v>
      </c>
      <c r="I56">
        <v>214</v>
      </c>
      <c r="J56">
        <v>115</v>
      </c>
      <c r="K56">
        <v>1758</v>
      </c>
      <c r="L56">
        <v>2</v>
      </c>
      <c r="M56">
        <v>22</v>
      </c>
      <c r="N56">
        <v>4</v>
      </c>
      <c r="O56">
        <v>1745</v>
      </c>
      <c r="P56">
        <v>22</v>
      </c>
    </row>
    <row r="57" spans="1:16" x14ac:dyDescent="0.3">
      <c r="A57" s="3" t="s">
        <v>250</v>
      </c>
      <c r="B57" s="3">
        <v>45474</v>
      </c>
      <c r="C57">
        <v>2024</v>
      </c>
      <c r="D57" t="str">
        <f t="shared" si="0"/>
        <v>July</v>
      </c>
      <c r="E57" t="str">
        <f t="shared" si="1"/>
        <v>Monday</v>
      </c>
      <c r="F57" s="4">
        <v>0.27361111111111114</v>
      </c>
      <c r="G57" s="4" t="str">
        <f t="shared" si="2"/>
        <v>6:00 AM – 7:00 AM</v>
      </c>
      <c r="H57">
        <v>318</v>
      </c>
      <c r="I57">
        <v>553</v>
      </c>
      <c r="J57">
        <v>113</v>
      </c>
      <c r="K57">
        <v>1842</v>
      </c>
      <c r="L57">
        <v>10</v>
      </c>
      <c r="M57">
        <v>5</v>
      </c>
      <c r="N57">
        <v>25</v>
      </c>
      <c r="O57">
        <v>1919</v>
      </c>
      <c r="P57">
        <v>7</v>
      </c>
    </row>
    <row r="58" spans="1:16" x14ac:dyDescent="0.3">
      <c r="A58" s="3" t="s">
        <v>118</v>
      </c>
      <c r="B58" s="3">
        <v>45606</v>
      </c>
      <c r="C58">
        <v>2024</v>
      </c>
      <c r="D58" t="str">
        <f t="shared" si="0"/>
        <v>November</v>
      </c>
      <c r="E58" t="str">
        <f t="shared" si="1"/>
        <v>Sunday</v>
      </c>
      <c r="F58" s="4">
        <v>0.47499999999999998</v>
      </c>
      <c r="G58" s="4" t="str">
        <f t="shared" si="2"/>
        <v>11:00 AM – 12:00 PM</v>
      </c>
      <c r="H58">
        <v>450</v>
      </c>
      <c r="I58">
        <v>771</v>
      </c>
      <c r="J58">
        <v>112</v>
      </c>
      <c r="K58">
        <v>1369</v>
      </c>
      <c r="L58">
        <v>2</v>
      </c>
      <c r="M58">
        <v>26</v>
      </c>
      <c r="N58">
        <v>10</v>
      </c>
      <c r="O58">
        <v>1364</v>
      </c>
      <c r="P58">
        <v>0</v>
      </c>
    </row>
    <row r="59" spans="1:16" x14ac:dyDescent="0.3">
      <c r="A59" s="3" t="s">
        <v>166</v>
      </c>
      <c r="B59" s="3">
        <v>45558</v>
      </c>
      <c r="C59">
        <v>2024</v>
      </c>
      <c r="D59" t="str">
        <f t="shared" si="0"/>
        <v>September</v>
      </c>
      <c r="E59" t="str">
        <f t="shared" si="1"/>
        <v>Monday</v>
      </c>
      <c r="F59" s="4">
        <v>0.4513888888888889</v>
      </c>
      <c r="G59" s="4" t="str">
        <f t="shared" si="2"/>
        <v>10:00 AM – 11:00 AM</v>
      </c>
      <c r="H59">
        <v>402</v>
      </c>
      <c r="I59">
        <v>661</v>
      </c>
      <c r="J59">
        <v>112</v>
      </c>
      <c r="K59">
        <v>1414</v>
      </c>
      <c r="L59">
        <v>2</v>
      </c>
      <c r="M59">
        <v>34</v>
      </c>
      <c r="N59">
        <v>10</v>
      </c>
      <c r="O59">
        <v>1411</v>
      </c>
      <c r="P59">
        <v>1</v>
      </c>
    </row>
    <row r="60" spans="1:16" x14ac:dyDescent="0.3">
      <c r="A60" s="3" t="s">
        <v>90</v>
      </c>
      <c r="B60" s="3">
        <v>45634</v>
      </c>
      <c r="C60">
        <v>2024</v>
      </c>
      <c r="D60" t="str">
        <f t="shared" si="0"/>
        <v>December</v>
      </c>
      <c r="E60" t="str">
        <f t="shared" si="1"/>
        <v>Sunday</v>
      </c>
      <c r="F60" s="4">
        <v>0.5229166666666667</v>
      </c>
      <c r="G60" s="4" t="str">
        <f t="shared" si="2"/>
        <v>12:00 PM – 1:00 PM</v>
      </c>
      <c r="H60">
        <v>478</v>
      </c>
      <c r="I60">
        <v>788</v>
      </c>
      <c r="J60">
        <v>111</v>
      </c>
      <c r="K60">
        <v>1392</v>
      </c>
      <c r="L60">
        <v>1</v>
      </c>
      <c r="M60">
        <v>5</v>
      </c>
      <c r="N60">
        <v>7</v>
      </c>
      <c r="O60">
        <v>1423</v>
      </c>
      <c r="P60">
        <v>1</v>
      </c>
    </row>
    <row r="61" spans="1:16" x14ac:dyDescent="0.3">
      <c r="A61" s="3" t="s">
        <v>175</v>
      </c>
      <c r="B61" s="3">
        <v>45549</v>
      </c>
      <c r="C61">
        <v>2024</v>
      </c>
      <c r="D61" t="str">
        <f t="shared" si="0"/>
        <v>September</v>
      </c>
      <c r="E61" t="str">
        <f t="shared" si="1"/>
        <v>Saturday</v>
      </c>
      <c r="F61" s="4">
        <v>0.41944444444444445</v>
      </c>
      <c r="G61" s="4" t="str">
        <f t="shared" si="2"/>
        <v>10:00 AM – 11:00 AM</v>
      </c>
      <c r="H61">
        <v>393</v>
      </c>
      <c r="I61">
        <v>642</v>
      </c>
      <c r="J61">
        <v>111</v>
      </c>
      <c r="K61">
        <v>1284</v>
      </c>
      <c r="L61">
        <v>3</v>
      </c>
      <c r="M61">
        <v>73</v>
      </c>
      <c r="N61">
        <v>21</v>
      </c>
      <c r="O61">
        <v>1355</v>
      </c>
      <c r="P61">
        <v>2</v>
      </c>
    </row>
    <row r="62" spans="1:16" x14ac:dyDescent="0.3">
      <c r="A62" s="3" t="s">
        <v>296</v>
      </c>
      <c r="B62" s="3">
        <v>45428</v>
      </c>
      <c r="C62">
        <v>2024</v>
      </c>
      <c r="D62" t="str">
        <f t="shared" si="0"/>
        <v>May</v>
      </c>
      <c r="E62" t="str">
        <f t="shared" si="1"/>
        <v>Thursday</v>
      </c>
      <c r="F62" s="4">
        <v>0.27500000000000002</v>
      </c>
      <c r="G62" s="4" t="str">
        <f t="shared" si="2"/>
        <v>6:00 AM – 7:00 AM</v>
      </c>
      <c r="H62">
        <v>272</v>
      </c>
      <c r="I62">
        <v>493</v>
      </c>
      <c r="J62">
        <v>111</v>
      </c>
      <c r="K62">
        <v>1108</v>
      </c>
      <c r="L62">
        <v>2</v>
      </c>
      <c r="M62">
        <v>31</v>
      </c>
      <c r="N62">
        <v>30</v>
      </c>
      <c r="O62">
        <v>1245</v>
      </c>
      <c r="P62">
        <v>0</v>
      </c>
    </row>
    <row r="63" spans="1:16" x14ac:dyDescent="0.3">
      <c r="A63" s="3" t="s">
        <v>301</v>
      </c>
      <c r="B63" s="3">
        <v>45423</v>
      </c>
      <c r="C63">
        <v>2024</v>
      </c>
      <c r="D63" t="str">
        <f t="shared" si="0"/>
        <v>May</v>
      </c>
      <c r="E63" t="str">
        <f t="shared" si="1"/>
        <v>Saturday</v>
      </c>
      <c r="F63" s="4">
        <v>0.23472222222222222</v>
      </c>
      <c r="G63" s="4" t="str">
        <f t="shared" si="2"/>
        <v>5:00 AM – 6:00 AM</v>
      </c>
      <c r="H63">
        <v>267</v>
      </c>
      <c r="I63">
        <v>487</v>
      </c>
      <c r="J63">
        <v>109</v>
      </c>
      <c r="K63">
        <v>1728</v>
      </c>
      <c r="L63">
        <v>3</v>
      </c>
      <c r="M63">
        <v>115</v>
      </c>
      <c r="N63">
        <v>13</v>
      </c>
      <c r="O63">
        <v>1789</v>
      </c>
      <c r="P63">
        <v>3</v>
      </c>
    </row>
    <row r="64" spans="1:16" x14ac:dyDescent="0.3">
      <c r="A64" s="3" t="s">
        <v>212</v>
      </c>
      <c r="B64" s="3">
        <v>45512</v>
      </c>
      <c r="C64">
        <v>2024</v>
      </c>
      <c r="D64" t="str">
        <f t="shared" si="0"/>
        <v>August</v>
      </c>
      <c r="E64" t="str">
        <f t="shared" si="1"/>
        <v>Thursday</v>
      </c>
      <c r="F64" s="4">
        <v>0.30694444444444446</v>
      </c>
      <c r="G64" s="4" t="str">
        <f t="shared" si="2"/>
        <v>7:00 AM – 8:00 AM</v>
      </c>
      <c r="H64">
        <v>356</v>
      </c>
      <c r="I64">
        <v>564</v>
      </c>
      <c r="J64">
        <v>106</v>
      </c>
      <c r="K64">
        <v>1112</v>
      </c>
      <c r="L64">
        <v>1</v>
      </c>
      <c r="M64">
        <v>68</v>
      </c>
      <c r="N64">
        <v>23</v>
      </c>
      <c r="O64">
        <v>1440</v>
      </c>
      <c r="P64">
        <v>-1</v>
      </c>
    </row>
    <row r="65" spans="1:16" x14ac:dyDescent="0.3">
      <c r="A65" s="3" t="s">
        <v>87</v>
      </c>
      <c r="B65" s="3">
        <v>45637</v>
      </c>
      <c r="C65">
        <v>2024</v>
      </c>
      <c r="D65" t="str">
        <f t="shared" si="0"/>
        <v>December</v>
      </c>
      <c r="E65" t="str">
        <f t="shared" si="1"/>
        <v>Wednesday</v>
      </c>
      <c r="F65" s="4">
        <v>0.54791666666666672</v>
      </c>
      <c r="G65" s="4" t="str">
        <f t="shared" si="2"/>
        <v>1:00 PM – 2:00 PM</v>
      </c>
      <c r="H65">
        <v>481</v>
      </c>
      <c r="I65">
        <v>787</v>
      </c>
      <c r="J65">
        <v>104</v>
      </c>
      <c r="K65">
        <v>1556</v>
      </c>
      <c r="L65">
        <v>2</v>
      </c>
      <c r="M65">
        <v>25</v>
      </c>
      <c r="N65">
        <v>4</v>
      </c>
      <c r="O65">
        <v>1556</v>
      </c>
      <c r="P65">
        <v>0</v>
      </c>
    </row>
    <row r="66" spans="1:16" x14ac:dyDescent="0.3">
      <c r="A66" s="3" t="s">
        <v>216</v>
      </c>
      <c r="B66" s="3">
        <v>45508</v>
      </c>
      <c r="C66">
        <v>2024</v>
      </c>
      <c r="D66" t="str">
        <f t="shared" ref="D66:D129" si="3">TEXT(B66,"MMMM")</f>
        <v>August</v>
      </c>
      <c r="E66" t="str">
        <f t="shared" ref="E66:E129" si="4">TEXT(B66,"dddd")</f>
        <v>Sunday</v>
      </c>
      <c r="F66" s="4">
        <v>0.28263888888888888</v>
      </c>
      <c r="G66" s="4" t="str">
        <f t="shared" ref="G66:G129" si="5">TEXT(FLOOR(F66,"1:00"),"h:mm AM/PM") &amp; " – " &amp; TEXT(FLOOR(F66,"1:00") + TIME(1,0,0),"h:mm AM/PM")</f>
        <v>6:00 AM – 7:00 AM</v>
      </c>
      <c r="H66">
        <v>352</v>
      </c>
      <c r="I66">
        <v>565</v>
      </c>
      <c r="J66">
        <v>104</v>
      </c>
      <c r="K66">
        <v>979</v>
      </c>
      <c r="L66">
        <v>6</v>
      </c>
      <c r="M66">
        <v>64</v>
      </c>
      <c r="N66">
        <v>7</v>
      </c>
      <c r="O66">
        <v>1165</v>
      </c>
      <c r="P66">
        <v>0</v>
      </c>
    </row>
    <row r="67" spans="1:16" x14ac:dyDescent="0.3">
      <c r="A67" s="3" t="s">
        <v>342</v>
      </c>
      <c r="B67" s="3">
        <v>45382</v>
      </c>
      <c r="C67">
        <v>2024</v>
      </c>
      <c r="D67" t="str">
        <f t="shared" si="3"/>
        <v>March</v>
      </c>
      <c r="E67" t="str">
        <f t="shared" si="4"/>
        <v>Sunday</v>
      </c>
      <c r="F67" s="4">
        <v>0.21736111111111112</v>
      </c>
      <c r="G67" s="4" t="str">
        <f t="shared" si="5"/>
        <v>5:00 AM – 6:00 AM</v>
      </c>
      <c r="H67">
        <v>226</v>
      </c>
      <c r="I67">
        <v>257</v>
      </c>
      <c r="J67">
        <v>103</v>
      </c>
      <c r="K67">
        <v>2559</v>
      </c>
      <c r="L67">
        <v>3</v>
      </c>
      <c r="M67">
        <v>173</v>
      </c>
      <c r="N67">
        <v>19</v>
      </c>
      <c r="O67">
        <v>2534</v>
      </c>
      <c r="P67">
        <v>15</v>
      </c>
    </row>
    <row r="68" spans="1:16" x14ac:dyDescent="0.3">
      <c r="A68" s="3" t="s">
        <v>164</v>
      </c>
      <c r="B68" s="3">
        <v>45560</v>
      </c>
      <c r="C68">
        <v>2024</v>
      </c>
      <c r="D68" t="str">
        <f t="shared" si="3"/>
        <v>September</v>
      </c>
      <c r="E68" t="str">
        <f t="shared" si="4"/>
        <v>Wednesday</v>
      </c>
      <c r="F68" s="4">
        <v>0.28125</v>
      </c>
      <c r="G68" s="4" t="str">
        <f t="shared" si="5"/>
        <v>6:00 AM – 7:00 AM</v>
      </c>
      <c r="H68">
        <v>404</v>
      </c>
      <c r="I68">
        <v>672</v>
      </c>
      <c r="J68">
        <v>102</v>
      </c>
      <c r="K68">
        <v>2090</v>
      </c>
      <c r="L68">
        <v>5</v>
      </c>
      <c r="M68">
        <v>71</v>
      </c>
      <c r="N68">
        <v>37</v>
      </c>
      <c r="O68">
        <v>2160</v>
      </c>
      <c r="P68">
        <v>2</v>
      </c>
    </row>
    <row r="69" spans="1:16" x14ac:dyDescent="0.3">
      <c r="A69" s="3" t="s">
        <v>169</v>
      </c>
      <c r="B69" s="3">
        <v>45555</v>
      </c>
      <c r="C69">
        <v>2024</v>
      </c>
      <c r="D69" t="str">
        <f t="shared" si="3"/>
        <v>September</v>
      </c>
      <c r="E69" t="str">
        <f t="shared" si="4"/>
        <v>Friday</v>
      </c>
      <c r="F69" s="4">
        <v>0.28402777777777777</v>
      </c>
      <c r="G69" s="4" t="str">
        <f t="shared" si="5"/>
        <v>6:00 AM – 7:00 AM</v>
      </c>
      <c r="H69">
        <v>399</v>
      </c>
      <c r="I69">
        <v>657</v>
      </c>
      <c r="J69">
        <v>100</v>
      </c>
      <c r="K69">
        <v>1347</v>
      </c>
      <c r="L69">
        <v>1</v>
      </c>
      <c r="M69">
        <v>24</v>
      </c>
      <c r="N69">
        <v>15</v>
      </c>
      <c r="O69">
        <v>1457</v>
      </c>
      <c r="P69">
        <v>2</v>
      </c>
    </row>
    <row r="70" spans="1:16" x14ac:dyDescent="0.3">
      <c r="A70" s="3" t="s">
        <v>354</v>
      </c>
      <c r="B70" s="3">
        <v>45371</v>
      </c>
      <c r="C70">
        <v>2024</v>
      </c>
      <c r="D70" t="str">
        <f t="shared" si="3"/>
        <v>March</v>
      </c>
      <c r="E70" t="str">
        <f t="shared" si="4"/>
        <v>Wednesday</v>
      </c>
      <c r="F70" s="4">
        <v>0.20277777777777778</v>
      </c>
      <c r="G70" s="4" t="str">
        <f t="shared" si="5"/>
        <v>4:00 AM – 5:00 AM</v>
      </c>
      <c r="H70">
        <v>214</v>
      </c>
      <c r="I70">
        <v>145</v>
      </c>
      <c r="J70">
        <v>100</v>
      </c>
      <c r="K70">
        <v>2685</v>
      </c>
      <c r="L70">
        <v>9</v>
      </c>
      <c r="M70">
        <v>39</v>
      </c>
      <c r="N70">
        <v>34</v>
      </c>
      <c r="O70">
        <v>2723</v>
      </c>
      <c r="P70">
        <v>2</v>
      </c>
    </row>
    <row r="71" spans="1:16" x14ac:dyDescent="0.3">
      <c r="A71" s="3" t="s">
        <v>423</v>
      </c>
      <c r="B71" s="3">
        <v>45302</v>
      </c>
      <c r="C71">
        <v>2024</v>
      </c>
      <c r="D71" t="str">
        <f t="shared" si="3"/>
        <v>January</v>
      </c>
      <c r="E71" t="str">
        <f t="shared" si="4"/>
        <v>Thursday</v>
      </c>
      <c r="F71" s="4">
        <v>0.21249999999999999</v>
      </c>
      <c r="G71" s="4" t="str">
        <f t="shared" si="5"/>
        <v>5:00 AM – 6:00 AM</v>
      </c>
      <c r="H71">
        <v>145</v>
      </c>
      <c r="I71">
        <v>90</v>
      </c>
      <c r="J71">
        <v>98</v>
      </c>
      <c r="K71">
        <v>953</v>
      </c>
      <c r="L71">
        <v>1</v>
      </c>
      <c r="M71">
        <v>5</v>
      </c>
      <c r="N71">
        <v>1</v>
      </c>
      <c r="O71">
        <v>949</v>
      </c>
      <c r="P71">
        <v>10</v>
      </c>
    </row>
    <row r="72" spans="1:16" x14ac:dyDescent="0.3">
      <c r="A72" s="3" t="s">
        <v>92</v>
      </c>
      <c r="B72" s="3">
        <v>45632</v>
      </c>
      <c r="C72">
        <v>2024</v>
      </c>
      <c r="D72" t="str">
        <f t="shared" si="3"/>
        <v>December</v>
      </c>
      <c r="E72" t="str">
        <f t="shared" si="4"/>
        <v>Friday</v>
      </c>
      <c r="F72" s="4">
        <v>0.31041666666666667</v>
      </c>
      <c r="G72" s="4" t="str">
        <f t="shared" si="5"/>
        <v>7:00 AM – 8:00 AM</v>
      </c>
      <c r="H72">
        <v>476</v>
      </c>
      <c r="I72">
        <v>786</v>
      </c>
      <c r="J72">
        <v>93</v>
      </c>
      <c r="K72">
        <v>1446</v>
      </c>
      <c r="L72">
        <v>4</v>
      </c>
      <c r="M72">
        <v>8</v>
      </c>
      <c r="N72">
        <v>6</v>
      </c>
      <c r="O72">
        <v>1463</v>
      </c>
      <c r="P72">
        <v>0</v>
      </c>
    </row>
    <row r="73" spans="1:16" x14ac:dyDescent="0.3">
      <c r="A73" s="3" t="s">
        <v>287</v>
      </c>
      <c r="B73" s="3">
        <v>45437</v>
      </c>
      <c r="C73">
        <v>2024</v>
      </c>
      <c r="D73" t="str">
        <f t="shared" si="3"/>
        <v>May</v>
      </c>
      <c r="E73" t="str">
        <f t="shared" si="4"/>
        <v>Saturday</v>
      </c>
      <c r="F73" s="4">
        <v>0.26319444444444445</v>
      </c>
      <c r="G73" s="4" t="str">
        <f t="shared" si="5"/>
        <v>6:00 AM – 7:00 AM</v>
      </c>
      <c r="H73">
        <v>281</v>
      </c>
      <c r="I73">
        <v>507</v>
      </c>
      <c r="J73">
        <v>93</v>
      </c>
      <c r="K73">
        <v>1282</v>
      </c>
      <c r="L73">
        <v>2</v>
      </c>
      <c r="M73">
        <v>75</v>
      </c>
      <c r="N73">
        <v>8</v>
      </c>
      <c r="O73">
        <v>1409</v>
      </c>
      <c r="P73">
        <v>3</v>
      </c>
    </row>
    <row r="74" spans="1:16" x14ac:dyDescent="0.3">
      <c r="A74" s="3" t="s">
        <v>153</v>
      </c>
      <c r="B74" s="3">
        <v>45571</v>
      </c>
      <c r="C74">
        <v>2024</v>
      </c>
      <c r="D74" t="str">
        <f t="shared" si="3"/>
        <v>October</v>
      </c>
      <c r="E74" t="str">
        <f t="shared" si="4"/>
        <v>Sunday</v>
      </c>
      <c r="F74" s="4">
        <v>0.47013888888888888</v>
      </c>
      <c r="G74" s="4" t="str">
        <f t="shared" si="5"/>
        <v>11:00 AM – 12:00 PM</v>
      </c>
      <c r="H74">
        <v>415</v>
      </c>
      <c r="I74">
        <v>709</v>
      </c>
      <c r="J74">
        <v>92</v>
      </c>
      <c r="K74">
        <v>1514</v>
      </c>
      <c r="L74">
        <v>7</v>
      </c>
      <c r="M74">
        <v>32</v>
      </c>
      <c r="N74">
        <v>36</v>
      </c>
      <c r="O74">
        <v>1560</v>
      </c>
      <c r="P74">
        <v>6</v>
      </c>
    </row>
    <row r="75" spans="1:16" x14ac:dyDescent="0.3">
      <c r="A75" s="3" t="s">
        <v>71</v>
      </c>
      <c r="B75" s="3">
        <v>45653</v>
      </c>
      <c r="C75">
        <v>2024</v>
      </c>
      <c r="D75" t="str">
        <f t="shared" si="3"/>
        <v>December</v>
      </c>
      <c r="E75" t="str">
        <f t="shared" si="4"/>
        <v>Friday</v>
      </c>
      <c r="F75" s="4">
        <v>0.55277777777777781</v>
      </c>
      <c r="G75" s="4" t="str">
        <f t="shared" si="5"/>
        <v>1:00 PM – 2:00 PM</v>
      </c>
      <c r="H75">
        <v>497</v>
      </c>
      <c r="I75">
        <v>814</v>
      </c>
      <c r="J75">
        <v>91</v>
      </c>
      <c r="K75">
        <v>2573</v>
      </c>
      <c r="L75">
        <v>2</v>
      </c>
      <c r="M75">
        <v>22</v>
      </c>
      <c r="N75">
        <v>24</v>
      </c>
      <c r="O75">
        <v>2658</v>
      </c>
      <c r="P75">
        <v>10</v>
      </c>
    </row>
    <row r="76" spans="1:16" x14ac:dyDescent="0.3">
      <c r="A76" s="3" t="s">
        <v>383</v>
      </c>
      <c r="B76" s="3">
        <v>45342</v>
      </c>
      <c r="C76">
        <v>2024</v>
      </c>
      <c r="D76" t="str">
        <f t="shared" si="3"/>
        <v>February</v>
      </c>
      <c r="E76" t="str">
        <f t="shared" si="4"/>
        <v>Tuesday</v>
      </c>
      <c r="F76" s="4">
        <v>0.18055555555555555</v>
      </c>
      <c r="G76" s="4" t="str">
        <f t="shared" si="5"/>
        <v>4:00 AM – 5:00 AM</v>
      </c>
      <c r="H76">
        <v>185</v>
      </c>
      <c r="I76">
        <v>125</v>
      </c>
      <c r="J76">
        <v>90</v>
      </c>
      <c r="K76">
        <v>931</v>
      </c>
      <c r="L76">
        <v>2</v>
      </c>
      <c r="M76">
        <v>1</v>
      </c>
      <c r="N76">
        <v>3</v>
      </c>
      <c r="O76">
        <v>963</v>
      </c>
      <c r="P76">
        <v>0</v>
      </c>
    </row>
    <row r="77" spans="1:16" x14ac:dyDescent="0.3">
      <c r="A77" s="3" t="s">
        <v>34</v>
      </c>
      <c r="B77" s="3">
        <v>45690</v>
      </c>
      <c r="C77">
        <v>2025</v>
      </c>
      <c r="D77" t="str">
        <f t="shared" si="3"/>
        <v>February</v>
      </c>
      <c r="E77" t="str">
        <f t="shared" si="4"/>
        <v>Sunday</v>
      </c>
      <c r="F77" s="4">
        <v>0.64861111111111114</v>
      </c>
      <c r="G77" s="4" t="str">
        <f t="shared" si="5"/>
        <v>3:00 PM – 4:00 PM</v>
      </c>
      <c r="H77">
        <v>534</v>
      </c>
      <c r="I77">
        <v>1295</v>
      </c>
      <c r="J77">
        <v>87</v>
      </c>
      <c r="K77">
        <v>1309</v>
      </c>
      <c r="L77">
        <v>2</v>
      </c>
      <c r="M77">
        <v>12</v>
      </c>
      <c r="N77">
        <v>7</v>
      </c>
      <c r="O77">
        <v>1324</v>
      </c>
      <c r="P77">
        <v>1</v>
      </c>
    </row>
    <row r="78" spans="1:16" x14ac:dyDescent="0.3">
      <c r="A78" s="3" t="s">
        <v>54</v>
      </c>
      <c r="B78" s="3">
        <v>45670</v>
      </c>
      <c r="C78">
        <v>2025</v>
      </c>
      <c r="D78" t="str">
        <f t="shared" si="3"/>
        <v>January</v>
      </c>
      <c r="E78" t="str">
        <f t="shared" si="4"/>
        <v>Monday</v>
      </c>
      <c r="F78" s="4">
        <v>0.6166666666666667</v>
      </c>
      <c r="G78" s="4" t="str">
        <f t="shared" si="5"/>
        <v>2:00 PM – 3:00 PM</v>
      </c>
      <c r="H78">
        <v>514</v>
      </c>
      <c r="I78">
        <v>1275</v>
      </c>
      <c r="J78">
        <v>86</v>
      </c>
      <c r="K78">
        <v>1284</v>
      </c>
      <c r="L78">
        <v>6</v>
      </c>
      <c r="M78">
        <v>13</v>
      </c>
      <c r="N78">
        <v>13</v>
      </c>
      <c r="O78">
        <v>1292</v>
      </c>
      <c r="P78">
        <v>-2</v>
      </c>
    </row>
    <row r="79" spans="1:16" x14ac:dyDescent="0.3">
      <c r="A79" s="3" t="s">
        <v>481</v>
      </c>
      <c r="B79" s="3">
        <v>45245</v>
      </c>
      <c r="C79">
        <v>2023</v>
      </c>
      <c r="D79" t="str">
        <f t="shared" si="3"/>
        <v>November</v>
      </c>
      <c r="E79" t="str">
        <f t="shared" si="4"/>
        <v>Wednesday</v>
      </c>
      <c r="F79" s="4">
        <v>0.11666666666666667</v>
      </c>
      <c r="G79" s="4" t="str">
        <f t="shared" si="5"/>
        <v>2:00 AM – 3:00 AM</v>
      </c>
      <c r="H79">
        <v>85</v>
      </c>
      <c r="I79">
        <v>25</v>
      </c>
      <c r="J79">
        <v>83</v>
      </c>
      <c r="K79">
        <v>963</v>
      </c>
      <c r="L79">
        <v>1</v>
      </c>
      <c r="M79">
        <v>18</v>
      </c>
      <c r="N79">
        <v>4</v>
      </c>
      <c r="O79">
        <v>965</v>
      </c>
      <c r="P79">
        <v>0</v>
      </c>
    </row>
    <row r="80" spans="1:16" x14ac:dyDescent="0.3">
      <c r="A80" s="3" t="s">
        <v>172</v>
      </c>
      <c r="B80" s="3">
        <v>45552</v>
      </c>
      <c r="C80">
        <v>2024</v>
      </c>
      <c r="D80" t="str">
        <f t="shared" si="3"/>
        <v>September</v>
      </c>
      <c r="E80" t="str">
        <f t="shared" si="4"/>
        <v>Tuesday</v>
      </c>
      <c r="F80" s="4">
        <v>0.30277777777777776</v>
      </c>
      <c r="G80" s="4" t="str">
        <f t="shared" si="5"/>
        <v>7:00 AM – 8:00 AM</v>
      </c>
      <c r="H80">
        <v>396</v>
      </c>
      <c r="I80">
        <v>648</v>
      </c>
      <c r="J80">
        <v>80</v>
      </c>
      <c r="K80">
        <v>1264</v>
      </c>
      <c r="L80">
        <v>4</v>
      </c>
      <c r="M80">
        <v>22</v>
      </c>
      <c r="N80">
        <v>10</v>
      </c>
      <c r="O80">
        <v>1280</v>
      </c>
      <c r="P80">
        <v>3</v>
      </c>
    </row>
    <row r="81" spans="1:16" x14ac:dyDescent="0.3">
      <c r="A81" s="3" t="s">
        <v>280</v>
      </c>
      <c r="B81" s="3">
        <v>45444</v>
      </c>
      <c r="C81">
        <v>2024</v>
      </c>
      <c r="D81" t="str">
        <f t="shared" si="3"/>
        <v>June</v>
      </c>
      <c r="E81" t="str">
        <f t="shared" si="4"/>
        <v>Saturday</v>
      </c>
      <c r="F81" s="4">
        <v>0.27500000000000002</v>
      </c>
      <c r="G81" s="4" t="str">
        <f t="shared" si="5"/>
        <v>6:00 AM – 7:00 AM</v>
      </c>
      <c r="H81">
        <v>288</v>
      </c>
      <c r="I81">
        <v>512</v>
      </c>
      <c r="J81">
        <v>80</v>
      </c>
      <c r="K81">
        <v>1033</v>
      </c>
      <c r="L81">
        <v>1</v>
      </c>
      <c r="M81">
        <v>13</v>
      </c>
      <c r="N81">
        <v>9</v>
      </c>
      <c r="O81">
        <v>1135</v>
      </c>
      <c r="P81">
        <v>1</v>
      </c>
    </row>
    <row r="82" spans="1:16" x14ac:dyDescent="0.3">
      <c r="A82" s="3" t="s">
        <v>199</v>
      </c>
      <c r="B82" s="3">
        <v>45525</v>
      </c>
      <c r="C82">
        <v>2024</v>
      </c>
      <c r="D82" t="str">
        <f t="shared" si="3"/>
        <v>August</v>
      </c>
      <c r="E82" t="str">
        <f t="shared" si="4"/>
        <v>Wednesday</v>
      </c>
      <c r="F82" s="4">
        <v>0.29791666666666666</v>
      </c>
      <c r="G82" s="4" t="str">
        <f t="shared" si="5"/>
        <v>7:00 AM – 8:00 AM</v>
      </c>
      <c r="H82">
        <v>369</v>
      </c>
      <c r="I82">
        <v>572</v>
      </c>
      <c r="J82">
        <v>78</v>
      </c>
      <c r="K82">
        <v>1063</v>
      </c>
      <c r="L82">
        <v>2</v>
      </c>
      <c r="M82">
        <v>10</v>
      </c>
      <c r="N82">
        <v>18</v>
      </c>
      <c r="O82">
        <v>1086</v>
      </c>
      <c r="P82">
        <v>1</v>
      </c>
    </row>
    <row r="83" spans="1:16" x14ac:dyDescent="0.3">
      <c r="A83" s="3" t="s">
        <v>326</v>
      </c>
      <c r="B83" s="3">
        <v>45398</v>
      </c>
      <c r="C83">
        <v>2024</v>
      </c>
      <c r="D83" t="str">
        <f t="shared" si="3"/>
        <v>April</v>
      </c>
      <c r="E83" t="str">
        <f t="shared" si="4"/>
        <v>Tuesday</v>
      </c>
      <c r="F83" s="4">
        <v>0.2013888888888889</v>
      </c>
      <c r="G83" s="4" t="str">
        <f t="shared" si="5"/>
        <v>4:00 AM – 5:00 AM</v>
      </c>
      <c r="H83">
        <v>242</v>
      </c>
      <c r="I83">
        <v>430</v>
      </c>
      <c r="J83">
        <v>78</v>
      </c>
      <c r="K83">
        <v>1232</v>
      </c>
      <c r="L83">
        <v>1</v>
      </c>
      <c r="M83">
        <v>7</v>
      </c>
      <c r="N83">
        <v>20</v>
      </c>
      <c r="O83">
        <v>1241</v>
      </c>
      <c r="P83">
        <v>8</v>
      </c>
    </row>
    <row r="84" spans="1:16" x14ac:dyDescent="0.3">
      <c r="A84" s="3" t="s">
        <v>404</v>
      </c>
      <c r="B84" s="3">
        <v>45321</v>
      </c>
      <c r="C84">
        <v>2024</v>
      </c>
      <c r="D84" t="str">
        <f t="shared" si="3"/>
        <v>January</v>
      </c>
      <c r="E84" t="str">
        <f t="shared" si="4"/>
        <v>Tuesday</v>
      </c>
      <c r="F84" s="4">
        <v>0.22708333333333333</v>
      </c>
      <c r="G84" s="4" t="str">
        <f t="shared" si="5"/>
        <v>5:00 AM – 6:00 AM</v>
      </c>
      <c r="H84">
        <v>164</v>
      </c>
      <c r="I84">
        <v>121</v>
      </c>
      <c r="J84">
        <v>78</v>
      </c>
      <c r="K84">
        <v>977</v>
      </c>
      <c r="L84">
        <v>6</v>
      </c>
      <c r="M84">
        <v>10</v>
      </c>
      <c r="N84">
        <v>12</v>
      </c>
      <c r="O84">
        <v>1024</v>
      </c>
      <c r="P84">
        <v>0</v>
      </c>
    </row>
    <row r="85" spans="1:16" x14ac:dyDescent="0.3">
      <c r="A85" s="3" t="s">
        <v>464</v>
      </c>
      <c r="B85" s="3">
        <v>45262</v>
      </c>
      <c r="C85">
        <v>2023</v>
      </c>
      <c r="D85" t="str">
        <f t="shared" si="3"/>
        <v>December</v>
      </c>
      <c r="E85" t="str">
        <f t="shared" si="4"/>
        <v>Saturday</v>
      </c>
      <c r="F85" s="4">
        <v>0.40694444444444444</v>
      </c>
      <c r="G85" s="4" t="str">
        <f t="shared" si="5"/>
        <v>9:00 AM – 10:00 AM</v>
      </c>
      <c r="H85">
        <v>102</v>
      </c>
      <c r="I85">
        <v>29</v>
      </c>
      <c r="J85">
        <v>78</v>
      </c>
      <c r="K85">
        <v>709</v>
      </c>
      <c r="L85">
        <v>4</v>
      </c>
      <c r="M85">
        <v>19</v>
      </c>
      <c r="N85">
        <v>9</v>
      </c>
      <c r="O85">
        <v>726</v>
      </c>
      <c r="P85">
        <v>0</v>
      </c>
    </row>
    <row r="86" spans="1:16" x14ac:dyDescent="0.3">
      <c r="A86" s="3" t="s">
        <v>13</v>
      </c>
      <c r="B86" s="3">
        <v>45712</v>
      </c>
      <c r="C86">
        <v>2025</v>
      </c>
      <c r="D86" t="str">
        <f t="shared" si="3"/>
        <v>February</v>
      </c>
      <c r="E86" t="str">
        <f t="shared" si="4"/>
        <v>Monday</v>
      </c>
      <c r="F86" s="4">
        <v>0.6743055555555556</v>
      </c>
      <c r="G86" s="4" t="str">
        <f t="shared" si="5"/>
        <v>4:00 PM – 5:00 PM</v>
      </c>
      <c r="H86">
        <v>555</v>
      </c>
      <c r="I86">
        <v>1287</v>
      </c>
      <c r="J86">
        <v>77</v>
      </c>
      <c r="K86">
        <v>1273</v>
      </c>
      <c r="L86">
        <v>1</v>
      </c>
      <c r="M86">
        <v>47</v>
      </c>
      <c r="N86">
        <v>5</v>
      </c>
      <c r="O86">
        <v>1272</v>
      </c>
      <c r="P86">
        <v>-2</v>
      </c>
    </row>
    <row r="87" spans="1:16" x14ac:dyDescent="0.3">
      <c r="A87" s="3" t="s">
        <v>97</v>
      </c>
      <c r="B87" s="3">
        <v>45627</v>
      </c>
      <c r="C87">
        <v>2024</v>
      </c>
      <c r="D87" t="str">
        <f t="shared" si="3"/>
        <v>December</v>
      </c>
      <c r="E87" t="str">
        <f t="shared" si="4"/>
        <v>Sunday</v>
      </c>
      <c r="F87" s="4">
        <v>0.54791666666666672</v>
      </c>
      <c r="G87" s="4" t="str">
        <f t="shared" si="5"/>
        <v>1:00 PM – 2:00 PM</v>
      </c>
      <c r="H87">
        <v>471</v>
      </c>
      <c r="I87">
        <v>780</v>
      </c>
      <c r="J87">
        <v>77</v>
      </c>
      <c r="K87">
        <v>1079</v>
      </c>
      <c r="L87">
        <v>2</v>
      </c>
      <c r="M87">
        <v>31</v>
      </c>
      <c r="N87">
        <v>8</v>
      </c>
      <c r="O87">
        <v>1098</v>
      </c>
      <c r="P87">
        <v>0</v>
      </c>
    </row>
    <row r="88" spans="1:16" x14ac:dyDescent="0.3">
      <c r="A88" s="3" t="s">
        <v>348</v>
      </c>
      <c r="B88" s="3">
        <v>45377</v>
      </c>
      <c r="C88">
        <v>2024</v>
      </c>
      <c r="D88" t="str">
        <f t="shared" si="3"/>
        <v>March</v>
      </c>
      <c r="E88" t="str">
        <f t="shared" si="4"/>
        <v>Tuesday</v>
      </c>
      <c r="F88" s="4">
        <v>0.19791666666666666</v>
      </c>
      <c r="G88" s="4" t="str">
        <f t="shared" si="5"/>
        <v>4:00 AM – 5:00 AM</v>
      </c>
      <c r="H88">
        <v>220</v>
      </c>
      <c r="I88">
        <v>181</v>
      </c>
      <c r="J88">
        <v>77</v>
      </c>
      <c r="K88">
        <v>2505</v>
      </c>
      <c r="L88">
        <v>2</v>
      </c>
      <c r="M88">
        <v>1</v>
      </c>
      <c r="N88">
        <v>6</v>
      </c>
      <c r="O88">
        <v>2462</v>
      </c>
      <c r="P88">
        <v>8</v>
      </c>
    </row>
    <row r="89" spans="1:16" x14ac:dyDescent="0.3">
      <c r="A89" s="3" t="s">
        <v>106</v>
      </c>
      <c r="B89" s="3">
        <v>45618</v>
      </c>
      <c r="C89">
        <v>2024</v>
      </c>
      <c r="D89" t="str">
        <f t="shared" si="3"/>
        <v>November</v>
      </c>
      <c r="E89" t="str">
        <f t="shared" si="4"/>
        <v>Friday</v>
      </c>
      <c r="F89" s="4">
        <v>0.58125000000000004</v>
      </c>
      <c r="G89" s="4" t="str">
        <f t="shared" si="5"/>
        <v>1:00 PM – 2:00 PM</v>
      </c>
      <c r="H89">
        <v>462</v>
      </c>
      <c r="I89">
        <v>775</v>
      </c>
      <c r="J89">
        <v>73</v>
      </c>
      <c r="K89">
        <v>1187</v>
      </c>
      <c r="L89">
        <v>1</v>
      </c>
      <c r="M89">
        <v>19</v>
      </c>
      <c r="N89">
        <v>5</v>
      </c>
      <c r="O89">
        <v>1218</v>
      </c>
      <c r="P89">
        <v>1</v>
      </c>
    </row>
    <row r="90" spans="1:16" x14ac:dyDescent="0.3">
      <c r="A90" s="3" t="s">
        <v>355</v>
      </c>
      <c r="B90" s="3">
        <v>45370</v>
      </c>
      <c r="C90">
        <v>2024</v>
      </c>
      <c r="D90" t="str">
        <f t="shared" si="3"/>
        <v>March</v>
      </c>
      <c r="E90" t="str">
        <f t="shared" si="4"/>
        <v>Tuesday</v>
      </c>
      <c r="F90" s="4">
        <v>0.18194444444444444</v>
      </c>
      <c r="G90" s="4" t="str">
        <f t="shared" si="5"/>
        <v>4:00 AM – 5:00 AM</v>
      </c>
      <c r="H90">
        <v>213</v>
      </c>
      <c r="I90">
        <v>143</v>
      </c>
      <c r="J90">
        <v>72</v>
      </c>
      <c r="K90">
        <v>1295</v>
      </c>
      <c r="L90">
        <v>1</v>
      </c>
      <c r="M90">
        <v>3</v>
      </c>
      <c r="N90">
        <v>3</v>
      </c>
      <c r="O90">
        <v>1296</v>
      </c>
      <c r="P90">
        <v>2</v>
      </c>
    </row>
    <row r="91" spans="1:16" x14ac:dyDescent="0.3">
      <c r="A91" s="3" t="s">
        <v>89</v>
      </c>
      <c r="B91" s="3">
        <v>45635</v>
      </c>
      <c r="C91">
        <v>2024</v>
      </c>
      <c r="D91" t="str">
        <f t="shared" si="3"/>
        <v>December</v>
      </c>
      <c r="E91" t="str">
        <f t="shared" si="4"/>
        <v>Monday</v>
      </c>
      <c r="F91" s="4">
        <v>0.5444444444444444</v>
      </c>
      <c r="G91" s="4" t="str">
        <f t="shared" si="5"/>
        <v>1:00 PM – 2:00 PM</v>
      </c>
      <c r="H91">
        <v>479</v>
      </c>
      <c r="I91">
        <v>787</v>
      </c>
      <c r="J91">
        <v>71</v>
      </c>
      <c r="K91">
        <v>1039</v>
      </c>
      <c r="L91">
        <v>1</v>
      </c>
      <c r="M91">
        <v>21</v>
      </c>
      <c r="N91">
        <v>9</v>
      </c>
      <c r="O91">
        <v>1057</v>
      </c>
      <c r="P91">
        <v>-1</v>
      </c>
    </row>
    <row r="92" spans="1:16" x14ac:dyDescent="0.3">
      <c r="A92" s="3" t="s">
        <v>393</v>
      </c>
      <c r="B92" s="3">
        <v>45332</v>
      </c>
      <c r="C92">
        <v>2024</v>
      </c>
      <c r="D92" t="str">
        <f t="shared" si="3"/>
        <v>February</v>
      </c>
      <c r="E92" t="str">
        <f t="shared" si="4"/>
        <v>Saturday</v>
      </c>
      <c r="F92" s="4">
        <v>0.15625</v>
      </c>
      <c r="G92" s="4" t="str">
        <f t="shared" si="5"/>
        <v>3:00 AM – 4:00 AM</v>
      </c>
      <c r="H92">
        <v>175</v>
      </c>
      <c r="I92">
        <v>124</v>
      </c>
      <c r="J92">
        <v>71</v>
      </c>
      <c r="K92">
        <v>803</v>
      </c>
      <c r="L92">
        <v>2</v>
      </c>
      <c r="M92">
        <v>16</v>
      </c>
      <c r="N92">
        <v>6</v>
      </c>
      <c r="O92">
        <v>816</v>
      </c>
      <c r="P92">
        <v>0</v>
      </c>
    </row>
    <row r="93" spans="1:16" x14ac:dyDescent="0.3">
      <c r="A93" s="3" t="s">
        <v>420</v>
      </c>
      <c r="B93" s="3">
        <v>45305</v>
      </c>
      <c r="C93">
        <v>2024</v>
      </c>
      <c r="D93" t="str">
        <f t="shared" si="3"/>
        <v>January</v>
      </c>
      <c r="E93" t="str">
        <f t="shared" si="4"/>
        <v>Sunday</v>
      </c>
      <c r="F93" s="4">
        <v>0.22500000000000001</v>
      </c>
      <c r="G93" s="4" t="str">
        <f t="shared" si="5"/>
        <v>5:00 AM – 6:00 AM</v>
      </c>
      <c r="H93">
        <v>148</v>
      </c>
      <c r="I93">
        <v>104</v>
      </c>
      <c r="J93">
        <v>69</v>
      </c>
      <c r="K93">
        <v>846</v>
      </c>
      <c r="L93">
        <v>1</v>
      </c>
      <c r="M93">
        <v>47</v>
      </c>
      <c r="N93">
        <v>8</v>
      </c>
      <c r="O93">
        <v>911</v>
      </c>
      <c r="P93">
        <v>7</v>
      </c>
    </row>
    <row r="94" spans="1:16" x14ac:dyDescent="0.3">
      <c r="A94" s="3" t="s">
        <v>154</v>
      </c>
      <c r="B94" s="3">
        <v>45570</v>
      </c>
      <c r="C94">
        <v>2024</v>
      </c>
      <c r="D94" t="str">
        <f t="shared" si="3"/>
        <v>October</v>
      </c>
      <c r="E94" t="str">
        <f t="shared" si="4"/>
        <v>Saturday</v>
      </c>
      <c r="F94" s="4">
        <v>0.53055555555555556</v>
      </c>
      <c r="G94" s="4" t="str">
        <f t="shared" si="5"/>
        <v>12:00 PM – 1:00 PM</v>
      </c>
      <c r="H94">
        <v>414</v>
      </c>
      <c r="I94">
        <v>703</v>
      </c>
      <c r="J94">
        <v>67</v>
      </c>
      <c r="K94">
        <v>1480</v>
      </c>
      <c r="L94">
        <v>1</v>
      </c>
      <c r="M94">
        <v>7</v>
      </c>
      <c r="N94">
        <v>19</v>
      </c>
      <c r="O94">
        <v>1485</v>
      </c>
      <c r="P94">
        <v>7</v>
      </c>
    </row>
    <row r="95" spans="1:16" x14ac:dyDescent="0.3">
      <c r="A95" s="3" t="s">
        <v>265</v>
      </c>
      <c r="B95" s="3">
        <v>45459</v>
      </c>
      <c r="C95">
        <v>2024</v>
      </c>
      <c r="D95" t="str">
        <f t="shared" si="3"/>
        <v>June</v>
      </c>
      <c r="E95" t="str">
        <f t="shared" si="4"/>
        <v>Sunday</v>
      </c>
      <c r="F95" s="4">
        <v>0.28194444444444444</v>
      </c>
      <c r="G95" s="4" t="str">
        <f t="shared" si="5"/>
        <v>6:00 AM – 7:00 AM</v>
      </c>
      <c r="H95">
        <v>303</v>
      </c>
      <c r="I95">
        <v>520</v>
      </c>
      <c r="J95">
        <v>67</v>
      </c>
      <c r="K95">
        <v>1234</v>
      </c>
      <c r="L95">
        <v>11</v>
      </c>
      <c r="M95">
        <v>8</v>
      </c>
      <c r="N95">
        <v>4</v>
      </c>
      <c r="O95">
        <v>1380</v>
      </c>
      <c r="P95">
        <v>1</v>
      </c>
    </row>
    <row r="96" spans="1:16" x14ac:dyDescent="0.3">
      <c r="A96" s="3" t="s">
        <v>161</v>
      </c>
      <c r="B96" s="3">
        <v>45564</v>
      </c>
      <c r="C96">
        <v>2024</v>
      </c>
      <c r="D96" t="str">
        <f t="shared" si="3"/>
        <v>September</v>
      </c>
      <c r="E96" t="str">
        <f t="shared" si="4"/>
        <v>Sunday</v>
      </c>
      <c r="F96" s="4">
        <v>0.15208333333333332</v>
      </c>
      <c r="G96" s="4" t="str">
        <f t="shared" si="5"/>
        <v>3:00 AM – 4:00 AM</v>
      </c>
      <c r="H96">
        <v>407</v>
      </c>
      <c r="I96">
        <v>686</v>
      </c>
      <c r="J96">
        <v>65</v>
      </c>
      <c r="K96">
        <v>1542</v>
      </c>
      <c r="L96">
        <v>1</v>
      </c>
      <c r="M96">
        <v>65</v>
      </c>
      <c r="N96">
        <v>4</v>
      </c>
      <c r="O96">
        <v>1543</v>
      </c>
      <c r="P96">
        <v>1</v>
      </c>
    </row>
    <row r="97" spans="1:16" x14ac:dyDescent="0.3">
      <c r="A97" s="3" t="s">
        <v>417</v>
      </c>
      <c r="B97" s="3">
        <v>45308</v>
      </c>
      <c r="C97">
        <v>2024</v>
      </c>
      <c r="D97" t="str">
        <f t="shared" si="3"/>
        <v>January</v>
      </c>
      <c r="E97" t="str">
        <f t="shared" si="4"/>
        <v>Wednesday</v>
      </c>
      <c r="F97" s="4">
        <v>0.19444444444444445</v>
      </c>
      <c r="G97" s="4" t="str">
        <f t="shared" si="5"/>
        <v>4:00 AM – 5:00 AM</v>
      </c>
      <c r="H97">
        <v>151</v>
      </c>
      <c r="I97">
        <v>113</v>
      </c>
      <c r="J97">
        <v>64</v>
      </c>
      <c r="K97">
        <v>876</v>
      </c>
      <c r="L97">
        <v>2</v>
      </c>
      <c r="M97">
        <v>4</v>
      </c>
      <c r="N97">
        <v>5</v>
      </c>
      <c r="O97">
        <v>922</v>
      </c>
      <c r="P97">
        <v>1</v>
      </c>
    </row>
    <row r="98" spans="1:16" x14ac:dyDescent="0.3">
      <c r="A98" s="3" t="s">
        <v>463</v>
      </c>
      <c r="B98" s="3">
        <v>45263</v>
      </c>
      <c r="C98">
        <v>2023</v>
      </c>
      <c r="D98" t="str">
        <f t="shared" si="3"/>
        <v>December</v>
      </c>
      <c r="E98" t="str">
        <f t="shared" si="4"/>
        <v>Sunday</v>
      </c>
      <c r="F98" s="4">
        <v>0.89583333333333337</v>
      </c>
      <c r="G98" s="4" t="str">
        <f t="shared" si="5"/>
        <v>9:00 PM – 10:00 PM</v>
      </c>
      <c r="H98">
        <v>103</v>
      </c>
      <c r="I98">
        <v>29</v>
      </c>
      <c r="J98">
        <v>63</v>
      </c>
      <c r="K98">
        <v>665</v>
      </c>
      <c r="L98">
        <v>1</v>
      </c>
      <c r="M98">
        <v>15</v>
      </c>
      <c r="N98">
        <v>17</v>
      </c>
      <c r="O98">
        <v>683</v>
      </c>
      <c r="P98">
        <v>0</v>
      </c>
    </row>
    <row r="99" spans="1:16" x14ac:dyDescent="0.3">
      <c r="A99" s="3" t="s">
        <v>409</v>
      </c>
      <c r="B99" s="3">
        <v>45316</v>
      </c>
      <c r="C99">
        <v>2024</v>
      </c>
      <c r="D99" t="str">
        <f t="shared" si="3"/>
        <v>January</v>
      </c>
      <c r="E99" t="str">
        <f t="shared" si="4"/>
        <v>Thursday</v>
      </c>
      <c r="F99" s="4">
        <v>0.14722222222222223</v>
      </c>
      <c r="G99" s="4" t="str">
        <f t="shared" si="5"/>
        <v>3:00 AM – 4:00 AM</v>
      </c>
      <c r="H99">
        <v>159</v>
      </c>
      <c r="I99">
        <v>118</v>
      </c>
      <c r="J99">
        <v>61</v>
      </c>
      <c r="K99">
        <v>947</v>
      </c>
      <c r="L99">
        <v>4</v>
      </c>
      <c r="M99">
        <v>3</v>
      </c>
      <c r="N99">
        <v>0</v>
      </c>
      <c r="O99">
        <v>960</v>
      </c>
      <c r="P99">
        <v>0</v>
      </c>
    </row>
    <row r="100" spans="1:16" x14ac:dyDescent="0.3">
      <c r="A100" s="3" t="s">
        <v>459</v>
      </c>
      <c r="B100" s="3">
        <v>45267</v>
      </c>
      <c r="C100">
        <v>2023</v>
      </c>
      <c r="D100" t="str">
        <f t="shared" si="3"/>
        <v>December</v>
      </c>
      <c r="E100" t="str">
        <f t="shared" si="4"/>
        <v>Thursday</v>
      </c>
      <c r="F100" s="4">
        <v>0.28055555555555556</v>
      </c>
      <c r="G100" s="4" t="str">
        <f t="shared" si="5"/>
        <v>6:00 AM – 7:00 AM</v>
      </c>
      <c r="H100">
        <v>107</v>
      </c>
      <c r="I100">
        <v>29</v>
      </c>
      <c r="J100">
        <v>59</v>
      </c>
      <c r="K100">
        <v>889</v>
      </c>
      <c r="L100">
        <v>3</v>
      </c>
      <c r="M100">
        <v>18</v>
      </c>
      <c r="N100">
        <v>9</v>
      </c>
      <c r="O100">
        <v>919</v>
      </c>
      <c r="P100">
        <v>0</v>
      </c>
    </row>
    <row r="101" spans="1:16" x14ac:dyDescent="0.3">
      <c r="A101" s="3" t="s">
        <v>67</v>
      </c>
      <c r="B101" s="3">
        <v>45657</v>
      </c>
      <c r="C101">
        <v>2024</v>
      </c>
      <c r="D101" t="str">
        <f t="shared" si="3"/>
        <v>December</v>
      </c>
      <c r="E101" t="str">
        <f t="shared" si="4"/>
        <v>Tuesday</v>
      </c>
      <c r="F101" s="4">
        <v>0.59513888888888888</v>
      </c>
      <c r="G101" s="4" t="str">
        <f t="shared" si="5"/>
        <v>2:00 PM – 3:00 PM</v>
      </c>
      <c r="H101">
        <v>501</v>
      </c>
      <c r="I101">
        <v>853</v>
      </c>
      <c r="J101">
        <v>58</v>
      </c>
      <c r="K101">
        <v>2723</v>
      </c>
      <c r="L101">
        <v>1</v>
      </c>
      <c r="M101">
        <v>18</v>
      </c>
      <c r="N101">
        <v>7</v>
      </c>
      <c r="O101">
        <v>2739</v>
      </c>
      <c r="P101">
        <v>29</v>
      </c>
    </row>
    <row r="102" spans="1:16" x14ac:dyDescent="0.3">
      <c r="A102" s="3" t="s">
        <v>140</v>
      </c>
      <c r="B102" s="3">
        <v>45584</v>
      </c>
      <c r="C102">
        <v>2024</v>
      </c>
      <c r="D102" t="str">
        <f t="shared" si="3"/>
        <v>October</v>
      </c>
      <c r="E102" t="str">
        <f t="shared" si="4"/>
        <v>Saturday</v>
      </c>
      <c r="F102" s="4">
        <v>0.29305555555555557</v>
      </c>
      <c r="G102" s="4" t="str">
        <f t="shared" si="5"/>
        <v>7:00 AM – 8:00 AM</v>
      </c>
      <c r="H102">
        <v>428</v>
      </c>
      <c r="I102">
        <v>751</v>
      </c>
      <c r="J102">
        <v>58</v>
      </c>
      <c r="K102">
        <v>1124</v>
      </c>
      <c r="L102">
        <v>1</v>
      </c>
      <c r="M102">
        <v>2</v>
      </c>
      <c r="N102">
        <v>2</v>
      </c>
      <c r="O102">
        <v>1138</v>
      </c>
      <c r="P102">
        <v>0</v>
      </c>
    </row>
    <row r="103" spans="1:16" x14ac:dyDescent="0.3">
      <c r="A103" s="3" t="s">
        <v>294</v>
      </c>
      <c r="B103" s="3">
        <v>45430</v>
      </c>
      <c r="C103">
        <v>2024</v>
      </c>
      <c r="D103" t="str">
        <f t="shared" si="3"/>
        <v>May</v>
      </c>
      <c r="E103" t="str">
        <f t="shared" si="4"/>
        <v>Saturday</v>
      </c>
      <c r="F103" s="4">
        <v>0.39374999999999999</v>
      </c>
      <c r="G103" s="4" t="str">
        <f t="shared" si="5"/>
        <v>9:00 AM – 10:00 AM</v>
      </c>
      <c r="H103">
        <v>274</v>
      </c>
      <c r="I103">
        <v>495</v>
      </c>
      <c r="J103">
        <v>57</v>
      </c>
      <c r="K103">
        <v>1112</v>
      </c>
      <c r="L103">
        <v>5</v>
      </c>
      <c r="M103">
        <v>69</v>
      </c>
      <c r="N103">
        <v>18</v>
      </c>
      <c r="O103">
        <v>1287</v>
      </c>
      <c r="P103">
        <v>2</v>
      </c>
    </row>
    <row r="104" spans="1:16" x14ac:dyDescent="0.3">
      <c r="A104" s="3" t="s">
        <v>48</v>
      </c>
      <c r="B104" s="3">
        <v>45676</v>
      </c>
      <c r="C104">
        <v>2025</v>
      </c>
      <c r="D104" t="str">
        <f t="shared" si="3"/>
        <v>January</v>
      </c>
      <c r="E104" t="str">
        <f t="shared" si="4"/>
        <v>Sunday</v>
      </c>
      <c r="F104" s="4">
        <v>0.6020833333333333</v>
      </c>
      <c r="G104" s="4" t="str">
        <f t="shared" si="5"/>
        <v>2:00 PM – 3:00 PM</v>
      </c>
      <c r="H104">
        <v>520</v>
      </c>
      <c r="I104">
        <v>1283</v>
      </c>
      <c r="J104">
        <v>56</v>
      </c>
      <c r="K104">
        <v>1148</v>
      </c>
      <c r="L104">
        <v>3</v>
      </c>
      <c r="M104">
        <v>43</v>
      </c>
      <c r="N104">
        <v>7</v>
      </c>
      <c r="O104">
        <v>1158</v>
      </c>
      <c r="P104">
        <v>2</v>
      </c>
    </row>
    <row r="105" spans="1:16" x14ac:dyDescent="0.3">
      <c r="A105" s="3" t="s">
        <v>155</v>
      </c>
      <c r="B105" s="3">
        <v>45569</v>
      </c>
      <c r="C105">
        <v>2024</v>
      </c>
      <c r="D105" t="str">
        <f t="shared" si="3"/>
        <v>October</v>
      </c>
      <c r="E105" t="str">
        <f t="shared" si="4"/>
        <v>Friday</v>
      </c>
      <c r="F105" s="4">
        <v>0.30069444444444443</v>
      </c>
      <c r="G105" s="4" t="str">
        <f t="shared" si="5"/>
        <v>7:00 AM – 8:00 AM</v>
      </c>
      <c r="H105">
        <v>413</v>
      </c>
      <c r="I105">
        <v>696</v>
      </c>
      <c r="J105">
        <v>56</v>
      </c>
      <c r="K105">
        <v>1420</v>
      </c>
      <c r="L105">
        <v>2</v>
      </c>
      <c r="M105">
        <v>20</v>
      </c>
      <c r="N105">
        <v>15</v>
      </c>
      <c r="O105">
        <v>1448</v>
      </c>
      <c r="P105">
        <v>-2</v>
      </c>
    </row>
    <row r="106" spans="1:16" x14ac:dyDescent="0.3">
      <c r="A106" s="3" t="s">
        <v>18</v>
      </c>
      <c r="B106" s="3">
        <v>45706</v>
      </c>
      <c r="C106">
        <v>2025</v>
      </c>
      <c r="D106" t="str">
        <f t="shared" si="3"/>
        <v>February</v>
      </c>
      <c r="E106" t="str">
        <f t="shared" si="4"/>
        <v>Tuesday</v>
      </c>
      <c r="F106" s="4">
        <v>0.64236111111111116</v>
      </c>
      <c r="G106" s="4" t="str">
        <f t="shared" si="5"/>
        <v>3:00 PM – 4:00 PM</v>
      </c>
      <c r="H106">
        <v>550</v>
      </c>
      <c r="I106">
        <v>1289</v>
      </c>
      <c r="J106">
        <v>54</v>
      </c>
      <c r="K106">
        <v>1307</v>
      </c>
      <c r="L106">
        <v>1</v>
      </c>
      <c r="M106">
        <v>6</v>
      </c>
      <c r="N106">
        <v>22</v>
      </c>
      <c r="O106">
        <v>1323</v>
      </c>
      <c r="P106">
        <v>1</v>
      </c>
    </row>
    <row r="107" spans="1:16" x14ac:dyDescent="0.3">
      <c r="A107" s="3" t="s">
        <v>286</v>
      </c>
      <c r="B107" s="3">
        <v>45438</v>
      </c>
      <c r="C107">
        <v>2024</v>
      </c>
      <c r="D107" t="str">
        <f t="shared" si="3"/>
        <v>May</v>
      </c>
      <c r="E107" t="str">
        <f t="shared" si="4"/>
        <v>Sunday</v>
      </c>
      <c r="F107" s="4">
        <v>0.29305555555555557</v>
      </c>
      <c r="G107" s="4" t="str">
        <f t="shared" si="5"/>
        <v>7:00 AM – 8:00 AM</v>
      </c>
      <c r="H107">
        <v>282</v>
      </c>
      <c r="I107">
        <v>507</v>
      </c>
      <c r="J107">
        <v>53</v>
      </c>
      <c r="K107">
        <v>992</v>
      </c>
      <c r="L107">
        <v>1</v>
      </c>
      <c r="M107">
        <v>9</v>
      </c>
      <c r="N107">
        <v>1</v>
      </c>
      <c r="O107">
        <v>1096</v>
      </c>
      <c r="P107">
        <v>0</v>
      </c>
    </row>
    <row r="108" spans="1:16" x14ac:dyDescent="0.3">
      <c r="A108" s="3" t="s">
        <v>469</v>
      </c>
      <c r="B108" s="3">
        <v>45257</v>
      </c>
      <c r="C108">
        <v>2023</v>
      </c>
      <c r="D108" t="str">
        <f t="shared" si="3"/>
        <v>November</v>
      </c>
      <c r="E108" t="str">
        <f t="shared" si="4"/>
        <v>Monday</v>
      </c>
      <c r="F108" s="4">
        <v>0.2</v>
      </c>
      <c r="G108" s="4" t="str">
        <f t="shared" si="5"/>
        <v>4:00 AM – 5:00 AM</v>
      </c>
      <c r="H108">
        <v>97</v>
      </c>
      <c r="I108">
        <v>29</v>
      </c>
      <c r="J108">
        <v>53</v>
      </c>
      <c r="K108">
        <v>459</v>
      </c>
      <c r="L108">
        <v>0</v>
      </c>
      <c r="M108">
        <v>2</v>
      </c>
      <c r="N108">
        <v>2</v>
      </c>
      <c r="O108">
        <v>480</v>
      </c>
      <c r="P108">
        <v>0</v>
      </c>
    </row>
    <row r="109" spans="1:16" x14ac:dyDescent="0.3">
      <c r="A109" s="3" t="s">
        <v>19</v>
      </c>
      <c r="B109" s="3">
        <v>45705</v>
      </c>
      <c r="C109">
        <v>2025</v>
      </c>
      <c r="D109" t="str">
        <f t="shared" si="3"/>
        <v>February</v>
      </c>
      <c r="E109" t="str">
        <f t="shared" si="4"/>
        <v>Monday</v>
      </c>
      <c r="F109" s="4">
        <v>0.29444444444444445</v>
      </c>
      <c r="G109" s="4" t="str">
        <f t="shared" si="5"/>
        <v>7:00 AM – 8:00 AM</v>
      </c>
      <c r="H109">
        <v>549</v>
      </c>
      <c r="I109">
        <v>1288</v>
      </c>
      <c r="J109">
        <v>52</v>
      </c>
      <c r="K109">
        <v>1056</v>
      </c>
      <c r="L109">
        <v>1</v>
      </c>
      <c r="M109">
        <v>1</v>
      </c>
      <c r="N109">
        <v>5</v>
      </c>
      <c r="O109">
        <v>1052</v>
      </c>
      <c r="P109">
        <v>0</v>
      </c>
    </row>
    <row r="110" spans="1:16" x14ac:dyDescent="0.3">
      <c r="A110" s="3" t="s">
        <v>170</v>
      </c>
      <c r="B110" s="3">
        <v>45554</v>
      </c>
      <c r="C110">
        <v>2024</v>
      </c>
      <c r="D110" t="str">
        <f t="shared" si="3"/>
        <v>September</v>
      </c>
      <c r="E110" t="str">
        <f t="shared" si="4"/>
        <v>Thursday</v>
      </c>
      <c r="F110" s="4">
        <v>0.31111111111111112</v>
      </c>
      <c r="G110" s="4" t="str">
        <f t="shared" si="5"/>
        <v>7:00 AM – 8:00 AM</v>
      </c>
      <c r="H110">
        <v>398</v>
      </c>
      <c r="I110">
        <v>655</v>
      </c>
      <c r="J110">
        <v>51</v>
      </c>
      <c r="K110">
        <v>1450</v>
      </c>
      <c r="L110">
        <v>2</v>
      </c>
      <c r="M110">
        <v>36</v>
      </c>
      <c r="N110">
        <v>0</v>
      </c>
      <c r="O110">
        <v>1486</v>
      </c>
      <c r="P110">
        <v>3</v>
      </c>
    </row>
    <row r="111" spans="1:16" x14ac:dyDescent="0.3">
      <c r="A111" s="3" t="s">
        <v>422</v>
      </c>
      <c r="B111" s="3">
        <v>45303</v>
      </c>
      <c r="C111">
        <v>2024</v>
      </c>
      <c r="D111" t="str">
        <f t="shared" si="3"/>
        <v>January</v>
      </c>
      <c r="E111" t="str">
        <f t="shared" si="4"/>
        <v>Friday</v>
      </c>
      <c r="F111" s="4">
        <v>0.28333333333333333</v>
      </c>
      <c r="G111" s="4" t="str">
        <f t="shared" si="5"/>
        <v>6:00 AM – 7:00 AM</v>
      </c>
      <c r="H111">
        <v>146</v>
      </c>
      <c r="I111">
        <v>93</v>
      </c>
      <c r="J111">
        <v>50</v>
      </c>
      <c r="K111">
        <v>866</v>
      </c>
      <c r="L111">
        <v>1</v>
      </c>
      <c r="M111">
        <v>9</v>
      </c>
      <c r="N111">
        <v>8</v>
      </c>
      <c r="O111">
        <v>879</v>
      </c>
      <c r="P111">
        <v>3</v>
      </c>
    </row>
    <row r="112" spans="1:16" x14ac:dyDescent="0.3">
      <c r="A112" s="3" t="s">
        <v>145</v>
      </c>
      <c r="B112" s="3">
        <v>45579</v>
      </c>
      <c r="C112">
        <v>2024</v>
      </c>
      <c r="D112" t="str">
        <f t="shared" si="3"/>
        <v>October</v>
      </c>
      <c r="E112" t="str">
        <f t="shared" si="4"/>
        <v>Monday</v>
      </c>
      <c r="F112" s="4">
        <v>0.46180555555555558</v>
      </c>
      <c r="G112" s="4" t="str">
        <f t="shared" si="5"/>
        <v>11:00 AM – 12:00 PM</v>
      </c>
      <c r="H112">
        <v>423</v>
      </c>
      <c r="I112">
        <v>743</v>
      </c>
      <c r="J112">
        <v>49</v>
      </c>
      <c r="K112">
        <v>1539</v>
      </c>
      <c r="L112">
        <v>5</v>
      </c>
      <c r="M112">
        <v>16</v>
      </c>
      <c r="N112">
        <v>45</v>
      </c>
      <c r="O112">
        <v>1569</v>
      </c>
      <c r="P112">
        <v>3</v>
      </c>
    </row>
    <row r="113" spans="1:16" x14ac:dyDescent="0.3">
      <c r="A113" s="3" t="s">
        <v>116</v>
      </c>
      <c r="B113" s="3">
        <v>45608</v>
      </c>
      <c r="C113">
        <v>2024</v>
      </c>
      <c r="D113" t="str">
        <f t="shared" si="3"/>
        <v>November</v>
      </c>
      <c r="E113" t="str">
        <f t="shared" si="4"/>
        <v>Tuesday</v>
      </c>
      <c r="F113" s="4">
        <v>0.29166666666666669</v>
      </c>
      <c r="G113" s="4" t="str">
        <f t="shared" si="5"/>
        <v>7:00 AM – 8:00 AM</v>
      </c>
      <c r="H113">
        <v>452</v>
      </c>
      <c r="I113">
        <v>776</v>
      </c>
      <c r="J113">
        <v>47</v>
      </c>
      <c r="K113">
        <v>504</v>
      </c>
      <c r="L113">
        <v>1</v>
      </c>
      <c r="M113">
        <v>11</v>
      </c>
      <c r="N113">
        <v>10</v>
      </c>
      <c r="O113">
        <v>506</v>
      </c>
      <c r="P113">
        <v>1</v>
      </c>
    </row>
    <row r="114" spans="1:16" x14ac:dyDescent="0.3">
      <c r="A114" s="3" t="s">
        <v>475</v>
      </c>
      <c r="B114" s="3">
        <v>45251</v>
      </c>
      <c r="C114">
        <v>2023</v>
      </c>
      <c r="D114" t="str">
        <f t="shared" si="3"/>
        <v>November</v>
      </c>
      <c r="E114" t="str">
        <f t="shared" si="4"/>
        <v>Tuesday</v>
      </c>
      <c r="F114" s="4">
        <v>0.11736111111111111</v>
      </c>
      <c r="G114" s="4" t="str">
        <f t="shared" si="5"/>
        <v>2:00 AM – 3:00 AM</v>
      </c>
      <c r="H114">
        <v>91</v>
      </c>
      <c r="I114">
        <v>26</v>
      </c>
      <c r="J114">
        <v>47</v>
      </c>
      <c r="K114">
        <v>257</v>
      </c>
      <c r="L114">
        <v>0</v>
      </c>
      <c r="M114">
        <v>1</v>
      </c>
      <c r="N114">
        <v>7</v>
      </c>
      <c r="O114">
        <v>263</v>
      </c>
      <c r="P114">
        <v>0</v>
      </c>
    </row>
    <row r="115" spans="1:16" x14ac:dyDescent="0.3">
      <c r="A115" s="3" t="s">
        <v>37</v>
      </c>
      <c r="B115" s="3">
        <v>45687</v>
      </c>
      <c r="C115">
        <v>2025</v>
      </c>
      <c r="D115" t="str">
        <f t="shared" si="3"/>
        <v>January</v>
      </c>
      <c r="E115" t="str">
        <f t="shared" si="4"/>
        <v>Thursday</v>
      </c>
      <c r="F115" s="4">
        <v>0.61805555555555558</v>
      </c>
      <c r="G115" s="4" t="str">
        <f t="shared" si="5"/>
        <v>2:00 PM – 3:00 PM</v>
      </c>
      <c r="H115">
        <v>531</v>
      </c>
      <c r="I115">
        <v>1296</v>
      </c>
      <c r="J115">
        <v>46</v>
      </c>
      <c r="K115">
        <v>635</v>
      </c>
      <c r="L115">
        <v>2</v>
      </c>
      <c r="M115">
        <v>13</v>
      </c>
      <c r="N115">
        <v>6</v>
      </c>
      <c r="O115">
        <v>662</v>
      </c>
      <c r="P115">
        <v>4</v>
      </c>
    </row>
    <row r="116" spans="1:16" x14ac:dyDescent="0.3">
      <c r="A116" s="3" t="s">
        <v>447</v>
      </c>
      <c r="B116" s="3">
        <v>45279</v>
      </c>
      <c r="C116">
        <v>2023</v>
      </c>
      <c r="D116" t="str">
        <f t="shared" si="3"/>
        <v>December</v>
      </c>
      <c r="E116" t="str">
        <f t="shared" si="4"/>
        <v>Tuesday</v>
      </c>
      <c r="F116" s="4">
        <v>0.10625</v>
      </c>
      <c r="G116" s="4" t="str">
        <f t="shared" si="5"/>
        <v>2:00 AM – 3:00 AM</v>
      </c>
      <c r="H116">
        <v>120</v>
      </c>
      <c r="I116">
        <v>31</v>
      </c>
      <c r="J116">
        <v>46</v>
      </c>
      <c r="K116">
        <v>1212</v>
      </c>
      <c r="L116">
        <v>6</v>
      </c>
      <c r="M116">
        <v>2</v>
      </c>
      <c r="N116">
        <v>4</v>
      </c>
      <c r="O116">
        <v>1231</v>
      </c>
      <c r="P116">
        <v>0</v>
      </c>
    </row>
    <row r="117" spans="1:16" x14ac:dyDescent="0.3">
      <c r="A117" s="3" t="s">
        <v>125</v>
      </c>
      <c r="B117" s="3">
        <v>45599</v>
      </c>
      <c r="C117">
        <v>2024</v>
      </c>
      <c r="D117" t="str">
        <f t="shared" si="3"/>
        <v>November</v>
      </c>
      <c r="E117" t="str">
        <f t="shared" si="4"/>
        <v>Sunday</v>
      </c>
      <c r="F117" s="4">
        <v>0.57222222222222219</v>
      </c>
      <c r="G117" s="4" t="str">
        <f t="shared" si="5"/>
        <v>1:00 PM – 2:00 PM</v>
      </c>
      <c r="H117">
        <v>443</v>
      </c>
      <c r="I117">
        <v>769</v>
      </c>
      <c r="J117">
        <v>45</v>
      </c>
      <c r="K117">
        <v>511</v>
      </c>
      <c r="L117">
        <v>3</v>
      </c>
      <c r="M117">
        <v>3</v>
      </c>
      <c r="N117">
        <v>4</v>
      </c>
      <c r="O117">
        <v>514</v>
      </c>
      <c r="P117">
        <v>0</v>
      </c>
    </row>
    <row r="118" spans="1:16" x14ac:dyDescent="0.3">
      <c r="A118" s="3" t="s">
        <v>239</v>
      </c>
      <c r="B118" s="3">
        <v>45485</v>
      </c>
      <c r="C118">
        <v>2024</v>
      </c>
      <c r="D118" t="str">
        <f t="shared" si="3"/>
        <v>July</v>
      </c>
      <c r="E118" t="str">
        <f t="shared" si="4"/>
        <v>Friday</v>
      </c>
      <c r="F118" s="4">
        <v>0.27847222222222223</v>
      </c>
      <c r="G118" s="4" t="str">
        <f t="shared" si="5"/>
        <v>6:00 AM – 7:00 AM</v>
      </c>
      <c r="H118">
        <v>329</v>
      </c>
      <c r="I118">
        <v>571</v>
      </c>
      <c r="J118">
        <v>45</v>
      </c>
      <c r="K118">
        <v>620</v>
      </c>
      <c r="L118">
        <v>2</v>
      </c>
      <c r="M118">
        <v>17</v>
      </c>
      <c r="N118">
        <v>11</v>
      </c>
      <c r="O118">
        <v>635</v>
      </c>
      <c r="P118">
        <v>0</v>
      </c>
    </row>
    <row r="119" spans="1:16" x14ac:dyDescent="0.3">
      <c r="A119" s="3" t="s">
        <v>93</v>
      </c>
      <c r="B119" s="3">
        <v>45631</v>
      </c>
      <c r="C119">
        <v>2024</v>
      </c>
      <c r="D119" t="str">
        <f t="shared" si="3"/>
        <v>December</v>
      </c>
      <c r="E119" t="str">
        <f t="shared" si="4"/>
        <v>Thursday</v>
      </c>
      <c r="F119" s="4">
        <v>0.53263888888888888</v>
      </c>
      <c r="G119" s="4" t="str">
        <f t="shared" si="5"/>
        <v>12:00 PM – 1:00 PM</v>
      </c>
      <c r="H119">
        <v>475</v>
      </c>
      <c r="I119">
        <v>786</v>
      </c>
      <c r="J119">
        <v>44</v>
      </c>
      <c r="K119">
        <v>704</v>
      </c>
      <c r="L119">
        <v>2</v>
      </c>
      <c r="M119">
        <v>18</v>
      </c>
      <c r="N119">
        <v>4</v>
      </c>
      <c r="O119">
        <v>721</v>
      </c>
      <c r="P119">
        <v>1</v>
      </c>
    </row>
    <row r="120" spans="1:16" x14ac:dyDescent="0.3">
      <c r="A120" s="3" t="s">
        <v>282</v>
      </c>
      <c r="B120" s="3">
        <v>45442</v>
      </c>
      <c r="C120">
        <v>2024</v>
      </c>
      <c r="D120" t="str">
        <f t="shared" si="3"/>
        <v>May</v>
      </c>
      <c r="E120" t="str">
        <f t="shared" si="4"/>
        <v>Thursday</v>
      </c>
      <c r="F120" s="4">
        <v>0.29583333333333334</v>
      </c>
      <c r="G120" s="4" t="str">
        <f t="shared" si="5"/>
        <v>7:00 AM – 8:00 AM</v>
      </c>
      <c r="H120">
        <v>286</v>
      </c>
      <c r="I120">
        <v>511</v>
      </c>
      <c r="J120">
        <v>44</v>
      </c>
      <c r="K120">
        <v>783</v>
      </c>
      <c r="L120">
        <v>1</v>
      </c>
      <c r="M120">
        <v>29</v>
      </c>
      <c r="N120">
        <v>1</v>
      </c>
      <c r="O120">
        <v>886</v>
      </c>
      <c r="P120">
        <v>2</v>
      </c>
    </row>
    <row r="121" spans="1:16" x14ac:dyDescent="0.3">
      <c r="A121" s="3" t="s">
        <v>288</v>
      </c>
      <c r="B121" s="3">
        <v>45436</v>
      </c>
      <c r="C121">
        <v>2024</v>
      </c>
      <c r="D121" t="str">
        <f t="shared" si="3"/>
        <v>May</v>
      </c>
      <c r="E121" t="str">
        <f t="shared" si="4"/>
        <v>Friday</v>
      </c>
      <c r="F121" s="4">
        <v>0.26597222222222222</v>
      </c>
      <c r="G121" s="4" t="str">
        <f t="shared" si="5"/>
        <v>6:00 AM – 7:00 AM</v>
      </c>
      <c r="H121">
        <v>280</v>
      </c>
      <c r="I121">
        <v>504</v>
      </c>
      <c r="J121">
        <v>43</v>
      </c>
      <c r="K121">
        <v>331</v>
      </c>
      <c r="L121">
        <v>1</v>
      </c>
      <c r="M121">
        <v>16</v>
      </c>
      <c r="N121">
        <v>3</v>
      </c>
      <c r="O121">
        <v>382</v>
      </c>
      <c r="P121">
        <v>1</v>
      </c>
    </row>
    <row r="122" spans="1:16" x14ac:dyDescent="0.3">
      <c r="A122" s="3" t="s">
        <v>365</v>
      </c>
      <c r="B122" s="3">
        <v>45360</v>
      </c>
      <c r="C122">
        <v>2024</v>
      </c>
      <c r="D122" t="str">
        <f t="shared" si="3"/>
        <v>March</v>
      </c>
      <c r="E122" t="str">
        <f t="shared" si="4"/>
        <v>Saturday</v>
      </c>
      <c r="F122" s="4">
        <v>0.14722222222222223</v>
      </c>
      <c r="G122" s="4" t="str">
        <f t="shared" si="5"/>
        <v>3:00 AM – 4:00 AM</v>
      </c>
      <c r="H122">
        <v>203</v>
      </c>
      <c r="I122">
        <v>135</v>
      </c>
      <c r="J122">
        <v>43</v>
      </c>
      <c r="K122">
        <v>465</v>
      </c>
      <c r="L122">
        <v>1</v>
      </c>
      <c r="M122">
        <v>5</v>
      </c>
      <c r="N122">
        <v>4</v>
      </c>
      <c r="O122">
        <v>455</v>
      </c>
      <c r="P122">
        <v>0</v>
      </c>
    </row>
    <row r="123" spans="1:16" x14ac:dyDescent="0.3">
      <c r="A123" s="3" t="s">
        <v>82</v>
      </c>
      <c r="B123" s="3">
        <v>45642</v>
      </c>
      <c r="C123">
        <v>2024</v>
      </c>
      <c r="D123" t="str">
        <f t="shared" si="3"/>
        <v>December</v>
      </c>
      <c r="E123" t="str">
        <f t="shared" si="4"/>
        <v>Monday</v>
      </c>
      <c r="F123" s="4">
        <v>0.53194444444444444</v>
      </c>
      <c r="G123" s="4" t="str">
        <f t="shared" si="5"/>
        <v>12:00 PM – 1:00 PM</v>
      </c>
      <c r="H123">
        <v>486</v>
      </c>
      <c r="I123">
        <v>790</v>
      </c>
      <c r="J123">
        <v>42</v>
      </c>
      <c r="K123">
        <v>1555</v>
      </c>
      <c r="L123">
        <v>6</v>
      </c>
      <c r="M123">
        <v>32</v>
      </c>
      <c r="N123">
        <v>26</v>
      </c>
      <c r="O123">
        <v>1569</v>
      </c>
      <c r="P123">
        <v>2</v>
      </c>
    </row>
    <row r="124" spans="1:16" x14ac:dyDescent="0.3">
      <c r="A124" s="3" t="s">
        <v>201</v>
      </c>
      <c r="B124" s="3">
        <v>45523</v>
      </c>
      <c r="C124">
        <v>2024</v>
      </c>
      <c r="D124" t="str">
        <f t="shared" si="3"/>
        <v>August</v>
      </c>
      <c r="E124" t="str">
        <f t="shared" si="4"/>
        <v>Monday</v>
      </c>
      <c r="F124" s="4">
        <v>0.27777777777777779</v>
      </c>
      <c r="G124" s="4" t="str">
        <f t="shared" si="5"/>
        <v>6:00 AM – 7:00 AM</v>
      </c>
      <c r="H124">
        <v>367</v>
      </c>
      <c r="I124">
        <v>571</v>
      </c>
      <c r="J124">
        <v>42</v>
      </c>
      <c r="K124">
        <v>309</v>
      </c>
      <c r="L124">
        <v>3</v>
      </c>
      <c r="M124">
        <v>9</v>
      </c>
      <c r="N124">
        <v>2</v>
      </c>
      <c r="O124">
        <v>337</v>
      </c>
      <c r="P124">
        <v>0</v>
      </c>
    </row>
    <row r="125" spans="1:16" x14ac:dyDescent="0.3">
      <c r="A125" s="3" t="s">
        <v>57</v>
      </c>
      <c r="B125" s="3">
        <v>45667</v>
      </c>
      <c r="C125">
        <v>2025</v>
      </c>
      <c r="D125" t="str">
        <f t="shared" si="3"/>
        <v>January</v>
      </c>
      <c r="E125" t="str">
        <f t="shared" si="4"/>
        <v>Friday</v>
      </c>
      <c r="F125" s="4">
        <v>0.62083333333333335</v>
      </c>
      <c r="G125" s="4" t="str">
        <f t="shared" si="5"/>
        <v>2:00 PM – 3:00 PM</v>
      </c>
      <c r="H125">
        <v>511</v>
      </c>
      <c r="I125">
        <v>1279</v>
      </c>
      <c r="J125">
        <v>41</v>
      </c>
      <c r="K125">
        <v>1314</v>
      </c>
      <c r="L125">
        <v>1</v>
      </c>
      <c r="M125">
        <v>10</v>
      </c>
      <c r="N125">
        <v>45</v>
      </c>
      <c r="O125">
        <v>1315</v>
      </c>
      <c r="P125">
        <v>0</v>
      </c>
    </row>
    <row r="126" spans="1:16" x14ac:dyDescent="0.3">
      <c r="A126" s="3" t="s">
        <v>111</v>
      </c>
      <c r="B126" s="3">
        <v>45613</v>
      </c>
      <c r="C126">
        <v>2024</v>
      </c>
      <c r="D126" t="str">
        <f t="shared" si="3"/>
        <v>November</v>
      </c>
      <c r="E126" t="str">
        <f t="shared" si="4"/>
        <v>Sunday</v>
      </c>
      <c r="F126" s="4">
        <v>0.58611111111111114</v>
      </c>
      <c r="G126" s="4" t="str">
        <f t="shared" si="5"/>
        <v>2:00 PM – 3:00 PM</v>
      </c>
      <c r="H126">
        <v>457</v>
      </c>
      <c r="I126">
        <v>776</v>
      </c>
      <c r="J126">
        <v>41</v>
      </c>
      <c r="K126">
        <v>599</v>
      </c>
      <c r="L126">
        <v>1</v>
      </c>
      <c r="M126">
        <v>19</v>
      </c>
      <c r="N126">
        <v>5</v>
      </c>
      <c r="O126">
        <v>611</v>
      </c>
      <c r="P126">
        <v>-2</v>
      </c>
    </row>
    <row r="127" spans="1:16" x14ac:dyDescent="0.3">
      <c r="A127" s="3" t="s">
        <v>65</v>
      </c>
      <c r="B127" s="3">
        <v>45659</v>
      </c>
      <c r="C127">
        <v>2025</v>
      </c>
      <c r="D127" t="str">
        <f t="shared" si="3"/>
        <v>January</v>
      </c>
      <c r="E127" t="str">
        <f t="shared" si="4"/>
        <v>Thursday</v>
      </c>
      <c r="F127" s="4">
        <v>0.61041666666666672</v>
      </c>
      <c r="G127" s="4" t="str">
        <f t="shared" si="5"/>
        <v>2:00 PM – 3:00 PM</v>
      </c>
      <c r="H127">
        <v>503</v>
      </c>
      <c r="I127">
        <v>1081</v>
      </c>
      <c r="J127">
        <v>40</v>
      </c>
      <c r="K127">
        <v>1567</v>
      </c>
      <c r="L127">
        <v>2</v>
      </c>
      <c r="M127">
        <v>5</v>
      </c>
      <c r="N127">
        <v>18</v>
      </c>
      <c r="O127">
        <v>1612</v>
      </c>
      <c r="P127">
        <v>123</v>
      </c>
    </row>
    <row r="128" spans="1:16" x14ac:dyDescent="0.3">
      <c r="A128" s="3" t="s">
        <v>77</v>
      </c>
      <c r="B128" s="3">
        <v>45647</v>
      </c>
      <c r="C128">
        <v>2024</v>
      </c>
      <c r="D128" t="str">
        <f t="shared" si="3"/>
        <v>December</v>
      </c>
      <c r="E128" t="str">
        <f t="shared" si="4"/>
        <v>Saturday</v>
      </c>
      <c r="F128" s="4">
        <v>0.5395833333333333</v>
      </c>
      <c r="G128" s="4" t="str">
        <f t="shared" si="5"/>
        <v>12:00 PM – 1:00 PM</v>
      </c>
      <c r="H128">
        <v>491</v>
      </c>
      <c r="I128">
        <v>797</v>
      </c>
      <c r="J128">
        <v>40</v>
      </c>
      <c r="K128">
        <v>1859</v>
      </c>
      <c r="L128">
        <v>3</v>
      </c>
      <c r="M128">
        <v>26</v>
      </c>
      <c r="N128">
        <v>41</v>
      </c>
      <c r="O128">
        <v>1847</v>
      </c>
      <c r="P128">
        <v>4</v>
      </c>
    </row>
    <row r="129" spans="1:16" x14ac:dyDescent="0.3">
      <c r="A129" s="3" t="s">
        <v>104</v>
      </c>
      <c r="B129" s="3">
        <v>45620</v>
      </c>
      <c r="C129">
        <v>2024</v>
      </c>
      <c r="D129" t="str">
        <f t="shared" si="3"/>
        <v>November</v>
      </c>
      <c r="E129" t="str">
        <f t="shared" si="4"/>
        <v>Sunday</v>
      </c>
      <c r="F129" s="4">
        <v>0.51111111111111107</v>
      </c>
      <c r="G129" s="4" t="str">
        <f t="shared" si="5"/>
        <v>12:00 PM – 1:00 PM</v>
      </c>
      <c r="H129">
        <v>464</v>
      </c>
      <c r="I129">
        <v>775</v>
      </c>
      <c r="J129">
        <v>40</v>
      </c>
      <c r="K129">
        <v>1223</v>
      </c>
      <c r="L129">
        <v>1</v>
      </c>
      <c r="M129">
        <v>3</v>
      </c>
      <c r="N129">
        <v>1</v>
      </c>
      <c r="O129">
        <v>1222</v>
      </c>
      <c r="P129">
        <v>0</v>
      </c>
    </row>
    <row r="130" spans="1:16" x14ac:dyDescent="0.3">
      <c r="A130" s="3" t="s">
        <v>12</v>
      </c>
      <c r="B130" s="3">
        <v>45713</v>
      </c>
      <c r="C130">
        <v>2025</v>
      </c>
      <c r="D130" t="str">
        <f t="shared" ref="D130:D193" si="6">TEXT(B130,"MMMM")</f>
        <v>February</v>
      </c>
      <c r="E130" t="str">
        <f t="shared" ref="E130:E193" si="7">TEXT(B130,"dddd")</f>
        <v>Tuesday</v>
      </c>
      <c r="F130" s="4">
        <v>0.625</v>
      </c>
      <c r="G130" s="4" t="str">
        <f t="shared" ref="G130:G193" si="8">TEXT(FLOOR(F130,"1:00"),"h:mm AM/PM") &amp; " – " &amp; TEXT(FLOOR(F130,"1:00") + TIME(1,0,0),"h:mm AM/PM")</f>
        <v>3:00 PM – 4:00 PM</v>
      </c>
      <c r="H130">
        <v>556</v>
      </c>
      <c r="I130">
        <v>1284</v>
      </c>
      <c r="J130">
        <v>39</v>
      </c>
      <c r="K130">
        <v>1533</v>
      </c>
      <c r="L130">
        <v>7</v>
      </c>
      <c r="M130">
        <v>18</v>
      </c>
      <c r="N130">
        <v>8</v>
      </c>
      <c r="O130">
        <v>1572</v>
      </c>
      <c r="P130">
        <v>-3</v>
      </c>
    </row>
    <row r="131" spans="1:16" x14ac:dyDescent="0.3">
      <c r="A131" s="3" t="s">
        <v>379</v>
      </c>
      <c r="B131" s="3">
        <v>45346</v>
      </c>
      <c r="C131">
        <v>2024</v>
      </c>
      <c r="D131" t="str">
        <f t="shared" si="6"/>
        <v>February</v>
      </c>
      <c r="E131" t="str">
        <f t="shared" si="7"/>
        <v>Saturday</v>
      </c>
      <c r="F131" s="4">
        <v>0.26805555555555555</v>
      </c>
      <c r="G131" s="4" t="str">
        <f t="shared" si="8"/>
        <v>6:00 AM – 7:00 AM</v>
      </c>
      <c r="H131">
        <v>189</v>
      </c>
      <c r="I131">
        <v>130</v>
      </c>
      <c r="J131">
        <v>39</v>
      </c>
      <c r="K131">
        <v>650</v>
      </c>
      <c r="L131">
        <v>2</v>
      </c>
      <c r="M131">
        <v>1</v>
      </c>
      <c r="N131">
        <v>2</v>
      </c>
      <c r="O131">
        <v>653</v>
      </c>
      <c r="P131">
        <v>5</v>
      </c>
    </row>
    <row r="132" spans="1:16" x14ac:dyDescent="0.3">
      <c r="A132" s="3" t="s">
        <v>137</v>
      </c>
      <c r="B132" s="3">
        <v>45587</v>
      </c>
      <c r="C132">
        <v>2024</v>
      </c>
      <c r="D132" t="str">
        <f t="shared" si="6"/>
        <v>October</v>
      </c>
      <c r="E132" t="str">
        <f t="shared" si="7"/>
        <v>Tuesday</v>
      </c>
      <c r="F132" s="4">
        <v>0.53125</v>
      </c>
      <c r="G132" s="4" t="str">
        <f t="shared" si="8"/>
        <v>12:00 PM – 1:00 PM</v>
      </c>
      <c r="H132">
        <v>431</v>
      </c>
      <c r="I132">
        <v>755</v>
      </c>
      <c r="J132">
        <v>38</v>
      </c>
      <c r="K132">
        <v>794</v>
      </c>
      <c r="L132">
        <v>1</v>
      </c>
      <c r="M132">
        <v>26</v>
      </c>
      <c r="N132">
        <v>15</v>
      </c>
      <c r="O132">
        <v>791</v>
      </c>
      <c r="P132">
        <v>1</v>
      </c>
    </row>
    <row r="133" spans="1:16" x14ac:dyDescent="0.3">
      <c r="A133" s="3" t="s">
        <v>290</v>
      </c>
      <c r="B133" s="3">
        <v>45434</v>
      </c>
      <c r="C133">
        <v>2024</v>
      </c>
      <c r="D133" t="str">
        <f t="shared" si="6"/>
        <v>May</v>
      </c>
      <c r="E133" t="str">
        <f t="shared" si="7"/>
        <v>Wednesday</v>
      </c>
      <c r="F133" s="4">
        <v>0.25208333333333333</v>
      </c>
      <c r="G133" s="4" t="str">
        <f t="shared" si="8"/>
        <v>6:00 AM – 7:00 AM</v>
      </c>
      <c r="H133">
        <v>278</v>
      </c>
      <c r="I133">
        <v>504</v>
      </c>
      <c r="J133">
        <v>37</v>
      </c>
      <c r="K133">
        <v>963</v>
      </c>
      <c r="L133">
        <v>1</v>
      </c>
      <c r="M133">
        <v>8</v>
      </c>
      <c r="N133">
        <v>5</v>
      </c>
      <c r="O133">
        <v>1086</v>
      </c>
      <c r="P133">
        <v>0</v>
      </c>
    </row>
    <row r="134" spans="1:16" x14ac:dyDescent="0.3">
      <c r="A134" s="3" t="s">
        <v>345</v>
      </c>
      <c r="B134" s="3">
        <v>45379</v>
      </c>
      <c r="C134">
        <v>2024</v>
      </c>
      <c r="D134" t="str">
        <f t="shared" si="6"/>
        <v>March</v>
      </c>
      <c r="E134" t="str">
        <f t="shared" si="7"/>
        <v>Thursday</v>
      </c>
      <c r="F134" s="4">
        <v>0.21527777777777779</v>
      </c>
      <c r="G134" s="4" t="str">
        <f t="shared" si="8"/>
        <v>5:00 AM – 6:00 AM</v>
      </c>
      <c r="H134">
        <v>223</v>
      </c>
      <c r="I134">
        <v>193</v>
      </c>
      <c r="J134">
        <v>37</v>
      </c>
      <c r="K134">
        <v>883</v>
      </c>
      <c r="L134">
        <v>3</v>
      </c>
      <c r="M134">
        <v>1</v>
      </c>
      <c r="N134">
        <v>4</v>
      </c>
      <c r="O134">
        <v>873</v>
      </c>
      <c r="P134">
        <v>8</v>
      </c>
    </row>
    <row r="135" spans="1:16" x14ac:dyDescent="0.3">
      <c r="A135" s="3" t="s">
        <v>149</v>
      </c>
      <c r="B135" s="3">
        <v>45575</v>
      </c>
      <c r="C135">
        <v>2024</v>
      </c>
      <c r="D135" t="str">
        <f t="shared" si="6"/>
        <v>October</v>
      </c>
      <c r="E135" t="str">
        <f t="shared" si="7"/>
        <v>Thursday</v>
      </c>
      <c r="F135" s="4">
        <v>0.49027777777777776</v>
      </c>
      <c r="G135" s="4" t="str">
        <f t="shared" si="8"/>
        <v>11:00 AM – 12:00 PM</v>
      </c>
      <c r="H135">
        <v>419</v>
      </c>
      <c r="I135">
        <v>738</v>
      </c>
      <c r="J135">
        <v>36</v>
      </c>
      <c r="K135">
        <v>737</v>
      </c>
      <c r="L135">
        <v>2</v>
      </c>
      <c r="M135">
        <v>7</v>
      </c>
      <c r="N135">
        <v>1</v>
      </c>
      <c r="O135">
        <v>736</v>
      </c>
      <c r="P135">
        <v>7</v>
      </c>
    </row>
    <row r="136" spans="1:16" x14ac:dyDescent="0.3">
      <c r="A136" s="3" t="s">
        <v>152</v>
      </c>
      <c r="B136" s="3">
        <v>45572</v>
      </c>
      <c r="C136">
        <v>2024</v>
      </c>
      <c r="D136" t="str">
        <f t="shared" si="6"/>
        <v>October</v>
      </c>
      <c r="E136" t="str">
        <f t="shared" si="7"/>
        <v>Monday</v>
      </c>
      <c r="F136" s="4">
        <v>0.47499999999999998</v>
      </c>
      <c r="G136" s="4" t="str">
        <f t="shared" si="8"/>
        <v>11:00 AM – 12:00 PM</v>
      </c>
      <c r="H136">
        <v>416</v>
      </c>
      <c r="I136">
        <v>712</v>
      </c>
      <c r="J136">
        <v>36</v>
      </c>
      <c r="K136">
        <v>508</v>
      </c>
      <c r="L136">
        <v>1</v>
      </c>
      <c r="M136">
        <v>7</v>
      </c>
      <c r="N136">
        <v>5</v>
      </c>
      <c r="O136">
        <v>517</v>
      </c>
      <c r="P136">
        <v>3</v>
      </c>
    </row>
    <row r="137" spans="1:16" x14ac:dyDescent="0.3">
      <c r="A137" s="3" t="s">
        <v>251</v>
      </c>
      <c r="B137" s="3">
        <v>45473</v>
      </c>
      <c r="C137">
        <v>2024</v>
      </c>
      <c r="D137" t="str">
        <f t="shared" si="6"/>
        <v>June</v>
      </c>
      <c r="E137" t="str">
        <f t="shared" si="7"/>
        <v>Sunday</v>
      </c>
      <c r="F137" s="4">
        <v>0.27708333333333335</v>
      </c>
      <c r="G137" s="4" t="str">
        <f t="shared" si="8"/>
        <v>6:00 AM – 7:00 AM</v>
      </c>
      <c r="H137">
        <v>317</v>
      </c>
      <c r="I137">
        <v>546</v>
      </c>
      <c r="J137">
        <v>36</v>
      </c>
      <c r="K137">
        <v>736</v>
      </c>
      <c r="L137">
        <v>1</v>
      </c>
      <c r="M137">
        <v>3</v>
      </c>
      <c r="N137">
        <v>24</v>
      </c>
      <c r="O137">
        <v>785</v>
      </c>
      <c r="P137">
        <v>12</v>
      </c>
    </row>
    <row r="138" spans="1:16" x14ac:dyDescent="0.3">
      <c r="A138" s="3" t="s">
        <v>24</v>
      </c>
      <c r="B138" s="3">
        <v>45700</v>
      </c>
      <c r="C138">
        <v>2025</v>
      </c>
      <c r="D138" t="str">
        <f t="shared" si="6"/>
        <v>February</v>
      </c>
      <c r="E138" t="str">
        <f t="shared" si="7"/>
        <v>Wednesday</v>
      </c>
      <c r="F138" s="4">
        <v>0.59236111111111112</v>
      </c>
      <c r="G138" s="4" t="str">
        <f t="shared" si="8"/>
        <v>2:00 PM – 3:00 PM</v>
      </c>
      <c r="H138">
        <v>544</v>
      </c>
      <c r="I138">
        <v>1293</v>
      </c>
      <c r="J138">
        <v>35</v>
      </c>
      <c r="K138">
        <v>670</v>
      </c>
      <c r="L138">
        <v>1</v>
      </c>
      <c r="M138">
        <v>24</v>
      </c>
      <c r="N138">
        <v>9</v>
      </c>
      <c r="O138">
        <v>669</v>
      </c>
      <c r="P138">
        <v>0</v>
      </c>
    </row>
    <row r="139" spans="1:16" x14ac:dyDescent="0.3">
      <c r="A139" s="3" t="s">
        <v>136</v>
      </c>
      <c r="B139" s="3">
        <v>45589</v>
      </c>
      <c r="C139">
        <v>2024</v>
      </c>
      <c r="D139" t="str">
        <f t="shared" si="6"/>
        <v>October</v>
      </c>
      <c r="E139" t="str">
        <f t="shared" si="7"/>
        <v>Thursday</v>
      </c>
      <c r="F139" s="4">
        <v>0.18819444444444444</v>
      </c>
      <c r="G139" s="4" t="str">
        <f t="shared" si="8"/>
        <v>4:00 AM – 5:00 AM</v>
      </c>
      <c r="H139">
        <v>432</v>
      </c>
      <c r="I139">
        <v>756</v>
      </c>
      <c r="J139">
        <v>35</v>
      </c>
      <c r="K139">
        <v>524</v>
      </c>
      <c r="L139">
        <v>1</v>
      </c>
      <c r="M139">
        <v>3</v>
      </c>
      <c r="N139">
        <v>5</v>
      </c>
      <c r="O139">
        <v>551</v>
      </c>
      <c r="P139">
        <v>1</v>
      </c>
    </row>
    <row r="140" spans="1:16" x14ac:dyDescent="0.3">
      <c r="A140" s="3" t="s">
        <v>196</v>
      </c>
      <c r="B140" s="3">
        <v>45528</v>
      </c>
      <c r="C140">
        <v>2024</v>
      </c>
      <c r="D140" t="str">
        <f t="shared" si="6"/>
        <v>August</v>
      </c>
      <c r="E140" t="str">
        <f t="shared" si="7"/>
        <v>Saturday</v>
      </c>
      <c r="F140" s="4">
        <v>0.31874999999999998</v>
      </c>
      <c r="G140" s="4" t="str">
        <f t="shared" si="8"/>
        <v>7:00 AM – 8:00 AM</v>
      </c>
      <c r="H140">
        <v>372</v>
      </c>
      <c r="I140">
        <v>574</v>
      </c>
      <c r="J140">
        <v>35</v>
      </c>
      <c r="K140">
        <v>380</v>
      </c>
      <c r="L140">
        <v>2</v>
      </c>
      <c r="M140">
        <v>23</v>
      </c>
      <c r="N140">
        <v>13</v>
      </c>
      <c r="O140">
        <v>396</v>
      </c>
      <c r="P140">
        <v>-1</v>
      </c>
    </row>
    <row r="141" spans="1:16" x14ac:dyDescent="0.3">
      <c r="A141" s="3" t="s">
        <v>128</v>
      </c>
      <c r="B141" s="3">
        <v>45596</v>
      </c>
      <c r="C141">
        <v>2024</v>
      </c>
      <c r="D141" t="str">
        <f t="shared" si="6"/>
        <v>October</v>
      </c>
      <c r="E141" t="str">
        <f t="shared" si="7"/>
        <v>Thursday</v>
      </c>
      <c r="F141" s="4">
        <v>0.4548611111111111</v>
      </c>
      <c r="G141" s="4" t="str">
        <f t="shared" si="8"/>
        <v>10:00 AM – 11:00 AM</v>
      </c>
      <c r="H141">
        <v>440</v>
      </c>
      <c r="I141">
        <v>765</v>
      </c>
      <c r="J141">
        <v>33</v>
      </c>
      <c r="K141">
        <v>527</v>
      </c>
      <c r="L141">
        <v>1</v>
      </c>
      <c r="M141">
        <v>1</v>
      </c>
      <c r="N141">
        <v>1</v>
      </c>
      <c r="O141">
        <v>525</v>
      </c>
      <c r="P141">
        <v>2</v>
      </c>
    </row>
    <row r="142" spans="1:16" x14ac:dyDescent="0.3">
      <c r="A142" s="3" t="s">
        <v>62</v>
      </c>
      <c r="B142" s="3">
        <v>45662</v>
      </c>
      <c r="C142">
        <v>2025</v>
      </c>
      <c r="D142" t="str">
        <f t="shared" si="6"/>
        <v>January</v>
      </c>
      <c r="E142" t="str">
        <f t="shared" si="7"/>
        <v>Sunday</v>
      </c>
      <c r="F142" s="4">
        <v>0.55902777777777779</v>
      </c>
      <c r="G142" s="4" t="str">
        <f t="shared" si="8"/>
        <v>1:00 PM – 2:00 PM</v>
      </c>
      <c r="H142">
        <v>506</v>
      </c>
      <c r="I142">
        <v>1247</v>
      </c>
      <c r="J142">
        <v>32</v>
      </c>
      <c r="K142">
        <v>599</v>
      </c>
      <c r="L142">
        <v>1</v>
      </c>
      <c r="M142">
        <v>16</v>
      </c>
      <c r="N142">
        <v>21</v>
      </c>
      <c r="O142">
        <v>597</v>
      </c>
      <c r="P142">
        <v>17</v>
      </c>
    </row>
    <row r="143" spans="1:16" x14ac:dyDescent="0.3">
      <c r="A143" s="3" t="s">
        <v>156</v>
      </c>
      <c r="B143" s="3">
        <v>45568</v>
      </c>
      <c r="C143">
        <v>2024</v>
      </c>
      <c r="D143" t="str">
        <f t="shared" si="6"/>
        <v>October</v>
      </c>
      <c r="E143" t="str">
        <f t="shared" si="7"/>
        <v>Thursday</v>
      </c>
      <c r="F143" s="4">
        <v>0.57986111111111116</v>
      </c>
      <c r="G143" s="4" t="str">
        <f t="shared" si="8"/>
        <v>1:00 PM – 2:00 PM</v>
      </c>
      <c r="H143">
        <v>412</v>
      </c>
      <c r="I143">
        <v>698</v>
      </c>
      <c r="J143">
        <v>31</v>
      </c>
      <c r="K143">
        <v>299</v>
      </c>
      <c r="L143">
        <v>6</v>
      </c>
      <c r="M143">
        <v>8</v>
      </c>
      <c r="N143">
        <v>30</v>
      </c>
      <c r="O143">
        <v>337</v>
      </c>
      <c r="P143">
        <v>2</v>
      </c>
    </row>
    <row r="144" spans="1:16" x14ac:dyDescent="0.3">
      <c r="A144" s="3" t="s">
        <v>248</v>
      </c>
      <c r="B144" s="3">
        <v>45476</v>
      </c>
      <c r="C144">
        <v>2024</v>
      </c>
      <c r="D144" t="str">
        <f t="shared" si="6"/>
        <v>July</v>
      </c>
      <c r="E144" t="str">
        <f t="shared" si="7"/>
        <v>Wednesday</v>
      </c>
      <c r="F144" s="4">
        <v>0.27986111111111112</v>
      </c>
      <c r="G144" s="4" t="str">
        <f t="shared" si="8"/>
        <v>6:00 AM – 7:00 AM</v>
      </c>
      <c r="H144">
        <v>320</v>
      </c>
      <c r="I144">
        <v>562</v>
      </c>
      <c r="J144">
        <v>31</v>
      </c>
      <c r="K144">
        <v>307</v>
      </c>
      <c r="L144">
        <v>2</v>
      </c>
      <c r="M144">
        <v>10</v>
      </c>
      <c r="N144">
        <v>19</v>
      </c>
      <c r="O144">
        <v>331</v>
      </c>
      <c r="P144">
        <v>5</v>
      </c>
    </row>
    <row r="145" spans="1:16" x14ac:dyDescent="0.3">
      <c r="A145" s="3" t="s">
        <v>176</v>
      </c>
      <c r="B145" s="3">
        <v>45548</v>
      </c>
      <c r="C145">
        <v>2024</v>
      </c>
      <c r="D145" t="str">
        <f t="shared" si="6"/>
        <v>September</v>
      </c>
      <c r="E145" t="str">
        <f t="shared" si="7"/>
        <v>Friday</v>
      </c>
      <c r="F145" s="4">
        <v>0.53333333333333333</v>
      </c>
      <c r="G145" s="4" t="str">
        <f t="shared" si="8"/>
        <v>12:00 PM – 1:00 PM</v>
      </c>
      <c r="H145">
        <v>392</v>
      </c>
      <c r="I145">
        <v>640</v>
      </c>
      <c r="J145">
        <v>29</v>
      </c>
      <c r="K145">
        <v>483</v>
      </c>
      <c r="L145">
        <v>3</v>
      </c>
      <c r="M145">
        <v>3</v>
      </c>
      <c r="N145">
        <v>1</v>
      </c>
      <c r="O145">
        <v>503</v>
      </c>
      <c r="P145">
        <v>5</v>
      </c>
    </row>
    <row r="146" spans="1:16" x14ac:dyDescent="0.3">
      <c r="A146" s="3" t="s">
        <v>319</v>
      </c>
      <c r="B146" s="3">
        <v>45405</v>
      </c>
      <c r="C146">
        <v>2024</v>
      </c>
      <c r="D146" t="str">
        <f t="shared" si="6"/>
        <v>April</v>
      </c>
      <c r="E146" t="str">
        <f t="shared" si="7"/>
        <v>Tuesday</v>
      </c>
      <c r="F146" s="4">
        <v>0.40555555555555556</v>
      </c>
      <c r="G146" s="4" t="str">
        <f t="shared" si="8"/>
        <v>9:00 AM – 10:00 AM</v>
      </c>
      <c r="H146">
        <v>249</v>
      </c>
      <c r="I146">
        <v>452</v>
      </c>
      <c r="J146">
        <v>29</v>
      </c>
      <c r="K146">
        <v>937</v>
      </c>
      <c r="L146">
        <v>1</v>
      </c>
      <c r="M146">
        <v>7</v>
      </c>
      <c r="N146">
        <v>5</v>
      </c>
      <c r="O146">
        <v>942</v>
      </c>
      <c r="P146">
        <v>2</v>
      </c>
    </row>
    <row r="147" spans="1:16" x14ac:dyDescent="0.3">
      <c r="A147" s="3" t="s">
        <v>452</v>
      </c>
      <c r="B147" s="3">
        <v>45274</v>
      </c>
      <c r="C147">
        <v>2023</v>
      </c>
      <c r="D147" t="str">
        <f t="shared" si="6"/>
        <v>December</v>
      </c>
      <c r="E147" t="str">
        <f t="shared" si="7"/>
        <v>Thursday</v>
      </c>
      <c r="F147" s="4">
        <v>0.26597222222222222</v>
      </c>
      <c r="G147" s="4" t="str">
        <f t="shared" si="8"/>
        <v>6:00 AM – 7:00 AM</v>
      </c>
      <c r="H147">
        <v>115</v>
      </c>
      <c r="I147">
        <v>29</v>
      </c>
      <c r="J147">
        <v>29</v>
      </c>
      <c r="K147">
        <v>555</v>
      </c>
      <c r="L147">
        <v>5</v>
      </c>
      <c r="M147">
        <v>4</v>
      </c>
      <c r="N147">
        <v>11</v>
      </c>
      <c r="O147">
        <v>574</v>
      </c>
      <c r="P147">
        <v>0</v>
      </c>
    </row>
    <row r="148" spans="1:16" x14ac:dyDescent="0.3">
      <c r="A148" s="3" t="s">
        <v>122</v>
      </c>
      <c r="B148" s="3">
        <v>45602</v>
      </c>
      <c r="C148">
        <v>2024</v>
      </c>
      <c r="D148" t="str">
        <f t="shared" si="6"/>
        <v>November</v>
      </c>
      <c r="E148" t="str">
        <f t="shared" si="7"/>
        <v>Wednesday</v>
      </c>
      <c r="F148" s="4">
        <v>0.54722222222222228</v>
      </c>
      <c r="G148" s="4" t="str">
        <f t="shared" si="8"/>
        <v>1:00 PM – 2:00 PM</v>
      </c>
      <c r="H148">
        <v>446</v>
      </c>
      <c r="I148">
        <v>772</v>
      </c>
      <c r="J148">
        <v>28</v>
      </c>
      <c r="K148">
        <v>357</v>
      </c>
      <c r="L148">
        <v>1</v>
      </c>
      <c r="M148">
        <v>0</v>
      </c>
      <c r="N148">
        <v>2</v>
      </c>
      <c r="O148">
        <v>362</v>
      </c>
      <c r="P148">
        <v>1</v>
      </c>
    </row>
    <row r="149" spans="1:16" x14ac:dyDescent="0.3">
      <c r="A149" s="3" t="s">
        <v>126</v>
      </c>
      <c r="B149" s="3">
        <v>45598</v>
      </c>
      <c r="C149">
        <v>2024</v>
      </c>
      <c r="D149" t="str">
        <f t="shared" si="6"/>
        <v>November</v>
      </c>
      <c r="E149" t="str">
        <f t="shared" si="7"/>
        <v>Saturday</v>
      </c>
      <c r="F149" s="4">
        <v>0.28472222222222221</v>
      </c>
      <c r="G149" s="4" t="str">
        <f t="shared" si="8"/>
        <v>6:00 AM – 7:00 AM</v>
      </c>
      <c r="H149">
        <v>442</v>
      </c>
      <c r="I149">
        <v>769</v>
      </c>
      <c r="J149">
        <v>28</v>
      </c>
      <c r="K149">
        <v>396</v>
      </c>
      <c r="L149">
        <v>1</v>
      </c>
      <c r="M149">
        <v>5</v>
      </c>
      <c r="N149">
        <v>6</v>
      </c>
      <c r="O149">
        <v>393</v>
      </c>
      <c r="P149">
        <v>2</v>
      </c>
    </row>
    <row r="150" spans="1:16" x14ac:dyDescent="0.3">
      <c r="A150" s="3" t="s">
        <v>27</v>
      </c>
      <c r="B150" s="3">
        <v>45697</v>
      </c>
      <c r="C150">
        <v>2025</v>
      </c>
      <c r="D150" t="str">
        <f t="shared" si="6"/>
        <v>February</v>
      </c>
      <c r="E150" t="str">
        <f t="shared" si="7"/>
        <v>Sunday</v>
      </c>
      <c r="F150" s="4">
        <v>0.63541666666666663</v>
      </c>
      <c r="G150" s="4" t="str">
        <f t="shared" si="8"/>
        <v>3:00 PM – 4:00 PM</v>
      </c>
      <c r="H150">
        <v>541</v>
      </c>
      <c r="I150">
        <v>1295</v>
      </c>
      <c r="J150">
        <v>26</v>
      </c>
      <c r="K150">
        <v>411</v>
      </c>
      <c r="L150">
        <v>1</v>
      </c>
      <c r="M150">
        <v>19</v>
      </c>
      <c r="N150">
        <v>5</v>
      </c>
      <c r="O150">
        <v>412</v>
      </c>
      <c r="P150">
        <v>0</v>
      </c>
    </row>
    <row r="151" spans="1:16" x14ac:dyDescent="0.3">
      <c r="A151" s="3" t="s">
        <v>79</v>
      </c>
      <c r="B151" s="3">
        <v>45645</v>
      </c>
      <c r="C151">
        <v>2024</v>
      </c>
      <c r="D151" t="str">
        <f t="shared" si="6"/>
        <v>December</v>
      </c>
      <c r="E151" t="str">
        <f t="shared" si="7"/>
        <v>Thursday</v>
      </c>
      <c r="F151" s="4">
        <v>0.54513888888888884</v>
      </c>
      <c r="G151" s="4" t="str">
        <f t="shared" si="8"/>
        <v>1:00 PM – 2:00 PM</v>
      </c>
      <c r="H151">
        <v>489</v>
      </c>
      <c r="I151">
        <v>790</v>
      </c>
      <c r="J151">
        <v>26</v>
      </c>
      <c r="K151">
        <v>1015</v>
      </c>
      <c r="L151">
        <v>1</v>
      </c>
      <c r="M151">
        <v>12</v>
      </c>
      <c r="N151">
        <v>1</v>
      </c>
      <c r="O151">
        <v>1009</v>
      </c>
      <c r="P151">
        <v>0</v>
      </c>
    </row>
    <row r="152" spans="1:16" x14ac:dyDescent="0.3">
      <c r="A152" s="3" t="s">
        <v>298</v>
      </c>
      <c r="B152" s="3">
        <v>45426</v>
      </c>
      <c r="C152">
        <v>2024</v>
      </c>
      <c r="D152" t="str">
        <f t="shared" si="6"/>
        <v>May</v>
      </c>
      <c r="E152" t="str">
        <f t="shared" si="7"/>
        <v>Tuesday</v>
      </c>
      <c r="F152" s="4">
        <v>0.23680555555555555</v>
      </c>
      <c r="G152" s="4" t="str">
        <f t="shared" si="8"/>
        <v>5:00 AM – 6:00 AM</v>
      </c>
      <c r="H152">
        <v>270</v>
      </c>
      <c r="I152">
        <v>492</v>
      </c>
      <c r="J152">
        <v>26</v>
      </c>
      <c r="K152">
        <v>215</v>
      </c>
      <c r="L152">
        <v>4</v>
      </c>
      <c r="M152">
        <v>2</v>
      </c>
      <c r="N152">
        <v>6</v>
      </c>
      <c r="O152">
        <v>240</v>
      </c>
      <c r="P152">
        <v>1</v>
      </c>
    </row>
    <row r="153" spans="1:16" x14ac:dyDescent="0.3">
      <c r="A153" s="3" t="s">
        <v>357</v>
      </c>
      <c r="B153" s="3">
        <v>45368</v>
      </c>
      <c r="C153">
        <v>2024</v>
      </c>
      <c r="D153" t="str">
        <f t="shared" si="6"/>
        <v>March</v>
      </c>
      <c r="E153" t="str">
        <f t="shared" si="7"/>
        <v>Sunday</v>
      </c>
      <c r="F153" s="4">
        <v>0.27847222222222223</v>
      </c>
      <c r="G153" s="4" t="str">
        <f t="shared" si="8"/>
        <v>6:00 AM – 7:00 AM</v>
      </c>
      <c r="H153">
        <v>211</v>
      </c>
      <c r="I153">
        <v>141</v>
      </c>
      <c r="J153">
        <v>26</v>
      </c>
      <c r="K153">
        <v>534</v>
      </c>
      <c r="L153">
        <v>1</v>
      </c>
      <c r="M153">
        <v>7</v>
      </c>
      <c r="N153">
        <v>3</v>
      </c>
      <c r="O153">
        <v>534</v>
      </c>
      <c r="P153">
        <v>0</v>
      </c>
    </row>
    <row r="154" spans="1:16" x14ac:dyDescent="0.3">
      <c r="A154" s="3" t="s">
        <v>474</v>
      </c>
      <c r="B154" s="3">
        <v>45252</v>
      </c>
      <c r="C154">
        <v>2023</v>
      </c>
      <c r="D154" t="str">
        <f t="shared" si="6"/>
        <v>November</v>
      </c>
      <c r="E154" t="str">
        <f t="shared" si="7"/>
        <v>Wednesday</v>
      </c>
      <c r="F154" s="4">
        <v>0.1125</v>
      </c>
      <c r="G154" s="4" t="str">
        <f t="shared" si="8"/>
        <v>2:00 AM – 3:00 AM</v>
      </c>
      <c r="H154">
        <v>92</v>
      </c>
      <c r="I154">
        <v>27</v>
      </c>
      <c r="J154">
        <v>26</v>
      </c>
      <c r="K154">
        <v>199</v>
      </c>
      <c r="L154">
        <v>0</v>
      </c>
      <c r="M154">
        <v>2</v>
      </c>
      <c r="N154">
        <v>6</v>
      </c>
      <c r="O154">
        <v>208</v>
      </c>
      <c r="P154">
        <v>1</v>
      </c>
    </row>
    <row r="155" spans="1:16" x14ac:dyDescent="0.3">
      <c r="A155" s="3" t="s">
        <v>418</v>
      </c>
      <c r="B155" s="3">
        <v>45307</v>
      </c>
      <c r="C155">
        <v>2024</v>
      </c>
      <c r="D155" t="str">
        <f t="shared" si="6"/>
        <v>January</v>
      </c>
      <c r="E155" t="str">
        <f t="shared" si="7"/>
        <v>Tuesday</v>
      </c>
      <c r="F155" s="4">
        <v>0.20902777777777778</v>
      </c>
      <c r="G155" s="4" t="str">
        <f t="shared" si="8"/>
        <v>5:00 AM – 6:00 AM</v>
      </c>
      <c r="H155">
        <v>150</v>
      </c>
      <c r="I155">
        <v>112</v>
      </c>
      <c r="J155">
        <v>25</v>
      </c>
      <c r="K155">
        <v>312</v>
      </c>
      <c r="L155">
        <v>2</v>
      </c>
      <c r="M155">
        <v>0</v>
      </c>
      <c r="N155">
        <v>4</v>
      </c>
      <c r="O155">
        <v>313</v>
      </c>
      <c r="P155">
        <v>1</v>
      </c>
    </row>
    <row r="156" spans="1:16" x14ac:dyDescent="0.3">
      <c r="A156" s="3" t="s">
        <v>42</v>
      </c>
      <c r="B156" s="3">
        <v>45682</v>
      </c>
      <c r="C156">
        <v>2025</v>
      </c>
      <c r="D156" t="str">
        <f t="shared" si="6"/>
        <v>January</v>
      </c>
      <c r="E156" t="str">
        <f t="shared" si="7"/>
        <v>Saturday</v>
      </c>
      <c r="F156" s="4">
        <v>0.57430555555555551</v>
      </c>
      <c r="G156" s="4" t="str">
        <f t="shared" si="8"/>
        <v>1:00 PM – 2:00 PM</v>
      </c>
      <c r="H156">
        <v>526</v>
      </c>
      <c r="I156">
        <v>1288</v>
      </c>
      <c r="J156">
        <v>24</v>
      </c>
      <c r="K156">
        <v>280</v>
      </c>
      <c r="L156">
        <v>1</v>
      </c>
      <c r="M156">
        <v>1</v>
      </c>
      <c r="N156">
        <v>2</v>
      </c>
      <c r="O156">
        <v>281</v>
      </c>
      <c r="P156">
        <v>1</v>
      </c>
    </row>
    <row r="157" spans="1:16" x14ac:dyDescent="0.3">
      <c r="A157" s="3" t="s">
        <v>61</v>
      </c>
      <c r="B157" s="3">
        <v>45663</v>
      </c>
      <c r="C157">
        <v>2025</v>
      </c>
      <c r="D157" t="str">
        <f t="shared" si="6"/>
        <v>January</v>
      </c>
      <c r="E157" t="str">
        <f t="shared" si="7"/>
        <v>Monday</v>
      </c>
      <c r="F157" s="4">
        <v>0.6166666666666667</v>
      </c>
      <c r="G157" s="4" t="str">
        <f t="shared" si="8"/>
        <v>2:00 PM – 3:00 PM</v>
      </c>
      <c r="H157">
        <v>507</v>
      </c>
      <c r="I157">
        <v>1253</v>
      </c>
      <c r="J157">
        <v>23</v>
      </c>
      <c r="K157">
        <v>446</v>
      </c>
      <c r="L157">
        <v>1</v>
      </c>
      <c r="M157">
        <v>0</v>
      </c>
      <c r="N157">
        <v>3</v>
      </c>
      <c r="O157">
        <v>448</v>
      </c>
      <c r="P157">
        <v>6</v>
      </c>
    </row>
    <row r="158" spans="1:16" x14ac:dyDescent="0.3">
      <c r="A158" s="3" t="s">
        <v>123</v>
      </c>
      <c r="B158" s="3">
        <v>45601</v>
      </c>
      <c r="C158">
        <v>2024</v>
      </c>
      <c r="D158" t="str">
        <f t="shared" si="6"/>
        <v>November</v>
      </c>
      <c r="E158" t="str">
        <f t="shared" si="7"/>
        <v>Tuesday</v>
      </c>
      <c r="F158" s="4">
        <v>0.59513888888888888</v>
      </c>
      <c r="G158" s="4" t="str">
        <f t="shared" si="8"/>
        <v>2:00 PM – 3:00 PM</v>
      </c>
      <c r="H158">
        <v>445</v>
      </c>
      <c r="I158">
        <v>771</v>
      </c>
      <c r="J158">
        <v>23</v>
      </c>
      <c r="K158">
        <v>282</v>
      </c>
      <c r="L158">
        <v>1</v>
      </c>
      <c r="M158">
        <v>1</v>
      </c>
      <c r="N158">
        <v>3</v>
      </c>
      <c r="O158">
        <v>286</v>
      </c>
      <c r="P158">
        <v>1</v>
      </c>
    </row>
    <row r="159" spans="1:16" x14ac:dyDescent="0.3">
      <c r="A159" s="3" t="s">
        <v>181</v>
      </c>
      <c r="B159" s="3">
        <v>45543</v>
      </c>
      <c r="C159">
        <v>2024</v>
      </c>
      <c r="D159" t="str">
        <f t="shared" si="6"/>
        <v>September</v>
      </c>
      <c r="E159" t="str">
        <f t="shared" si="7"/>
        <v>Sunday</v>
      </c>
      <c r="F159" s="4">
        <v>0.29375000000000001</v>
      </c>
      <c r="G159" s="4" t="str">
        <f t="shared" si="8"/>
        <v>7:00 AM – 8:00 AM</v>
      </c>
      <c r="H159">
        <v>387</v>
      </c>
      <c r="I159">
        <v>622</v>
      </c>
      <c r="J159">
        <v>23</v>
      </c>
      <c r="K159">
        <v>224</v>
      </c>
      <c r="L159">
        <v>2</v>
      </c>
      <c r="M159">
        <v>32</v>
      </c>
      <c r="N159">
        <v>8</v>
      </c>
      <c r="O159">
        <v>228</v>
      </c>
      <c r="P159">
        <v>4</v>
      </c>
    </row>
    <row r="160" spans="1:16" x14ac:dyDescent="0.3">
      <c r="A160" s="3" t="s">
        <v>182</v>
      </c>
      <c r="B160" s="3">
        <v>45542</v>
      </c>
      <c r="C160">
        <v>2024</v>
      </c>
      <c r="D160" t="str">
        <f t="shared" si="6"/>
        <v>September</v>
      </c>
      <c r="E160" t="str">
        <f t="shared" si="7"/>
        <v>Saturday</v>
      </c>
      <c r="F160" s="4">
        <v>0.28819444444444442</v>
      </c>
      <c r="G160" s="4" t="str">
        <f t="shared" si="8"/>
        <v>6:00 AM – 7:00 AM</v>
      </c>
      <c r="H160">
        <v>386</v>
      </c>
      <c r="I160">
        <v>618</v>
      </c>
      <c r="J160">
        <v>23</v>
      </c>
      <c r="K160">
        <v>299</v>
      </c>
      <c r="L160">
        <v>2</v>
      </c>
      <c r="M160">
        <v>1</v>
      </c>
      <c r="N160">
        <v>9</v>
      </c>
      <c r="O160">
        <v>326</v>
      </c>
      <c r="P160">
        <v>4</v>
      </c>
    </row>
    <row r="161" spans="1:16" x14ac:dyDescent="0.3">
      <c r="A161" s="3" t="s">
        <v>66</v>
      </c>
      <c r="B161" s="3">
        <v>45658</v>
      </c>
      <c r="C161">
        <v>2025</v>
      </c>
      <c r="D161" t="str">
        <f t="shared" si="6"/>
        <v>January</v>
      </c>
      <c r="E161" t="str">
        <f t="shared" si="7"/>
        <v>Wednesday</v>
      </c>
      <c r="F161" s="4">
        <v>0.55763888888888891</v>
      </c>
      <c r="G161" s="4" t="str">
        <f t="shared" si="8"/>
        <v>1:00 PM – 2:00 PM</v>
      </c>
      <c r="H161">
        <v>502</v>
      </c>
      <c r="I161">
        <v>958</v>
      </c>
      <c r="J161">
        <v>22</v>
      </c>
      <c r="K161">
        <v>1789</v>
      </c>
      <c r="L161">
        <v>2</v>
      </c>
      <c r="M161">
        <v>0</v>
      </c>
      <c r="N161">
        <v>16</v>
      </c>
      <c r="O161">
        <v>1786</v>
      </c>
      <c r="P161">
        <v>105</v>
      </c>
    </row>
    <row r="162" spans="1:16" x14ac:dyDescent="0.3">
      <c r="A162" s="3" t="s">
        <v>302</v>
      </c>
      <c r="B162" s="3">
        <v>45422</v>
      </c>
      <c r="C162">
        <v>2024</v>
      </c>
      <c r="D162" t="str">
        <f t="shared" si="6"/>
        <v>May</v>
      </c>
      <c r="E162" t="str">
        <f t="shared" si="7"/>
        <v>Friday</v>
      </c>
      <c r="F162" s="4">
        <v>0.22638888888888889</v>
      </c>
      <c r="G162" s="4" t="str">
        <f t="shared" si="8"/>
        <v>5:00 AM – 6:00 AM</v>
      </c>
      <c r="H162">
        <v>266</v>
      </c>
      <c r="I162">
        <v>484</v>
      </c>
      <c r="J162">
        <v>22</v>
      </c>
      <c r="K162">
        <v>210</v>
      </c>
      <c r="L162">
        <v>5</v>
      </c>
      <c r="M162">
        <v>9</v>
      </c>
      <c r="N162">
        <v>4</v>
      </c>
      <c r="O162">
        <v>227</v>
      </c>
      <c r="P162">
        <v>2</v>
      </c>
    </row>
    <row r="163" spans="1:16" x14ac:dyDescent="0.3">
      <c r="A163" s="3" t="s">
        <v>449</v>
      </c>
      <c r="B163" s="3">
        <v>45277</v>
      </c>
      <c r="C163">
        <v>2023</v>
      </c>
      <c r="D163" t="str">
        <f t="shared" si="6"/>
        <v>December</v>
      </c>
      <c r="E163" t="str">
        <f t="shared" si="7"/>
        <v>Sunday</v>
      </c>
      <c r="F163" s="4">
        <v>0.28541666666666665</v>
      </c>
      <c r="G163" s="4" t="str">
        <f t="shared" si="8"/>
        <v>6:00 AM – 7:00 AM</v>
      </c>
      <c r="H163">
        <v>118</v>
      </c>
      <c r="I163">
        <v>31</v>
      </c>
      <c r="J163">
        <v>22</v>
      </c>
      <c r="K163">
        <v>216</v>
      </c>
      <c r="L163">
        <v>5</v>
      </c>
      <c r="M163">
        <v>0</v>
      </c>
      <c r="N163">
        <v>0</v>
      </c>
      <c r="O163">
        <v>215</v>
      </c>
      <c r="P163">
        <v>0</v>
      </c>
    </row>
    <row r="164" spans="1:16" x14ac:dyDescent="0.3">
      <c r="A164" s="3" t="s">
        <v>28</v>
      </c>
      <c r="B164" s="3">
        <v>45696</v>
      </c>
      <c r="C164">
        <v>2025</v>
      </c>
      <c r="D164" t="str">
        <f t="shared" si="6"/>
        <v>February</v>
      </c>
      <c r="E164" t="str">
        <f t="shared" si="7"/>
        <v>Saturday</v>
      </c>
      <c r="F164" s="4">
        <v>0.5493055555555556</v>
      </c>
      <c r="G164" s="4" t="str">
        <f t="shared" si="8"/>
        <v>1:00 PM – 2:00 PM</v>
      </c>
      <c r="H164">
        <v>540</v>
      </c>
      <c r="I164">
        <v>1295</v>
      </c>
      <c r="J164">
        <v>21</v>
      </c>
      <c r="K164">
        <v>233</v>
      </c>
      <c r="L164">
        <v>1</v>
      </c>
      <c r="M164">
        <v>3</v>
      </c>
      <c r="N164">
        <v>1</v>
      </c>
      <c r="O164">
        <v>232</v>
      </c>
      <c r="P164">
        <v>0</v>
      </c>
    </row>
    <row r="165" spans="1:16" x14ac:dyDescent="0.3">
      <c r="A165" s="3" t="s">
        <v>134</v>
      </c>
      <c r="B165" s="3">
        <v>45590</v>
      </c>
      <c r="C165">
        <v>2024</v>
      </c>
      <c r="D165" t="str">
        <f t="shared" si="6"/>
        <v>October</v>
      </c>
      <c r="E165" t="str">
        <f t="shared" si="7"/>
        <v>Friday</v>
      </c>
      <c r="F165" s="4">
        <v>0.55138888888888893</v>
      </c>
      <c r="G165" s="4" t="str">
        <f t="shared" si="8"/>
        <v>1:00 PM – 2:00 PM</v>
      </c>
      <c r="H165">
        <v>434</v>
      </c>
      <c r="I165">
        <v>757</v>
      </c>
      <c r="J165">
        <v>21</v>
      </c>
      <c r="K165">
        <v>255</v>
      </c>
      <c r="L165">
        <v>1</v>
      </c>
      <c r="M165">
        <v>7</v>
      </c>
      <c r="N165">
        <v>3</v>
      </c>
      <c r="O165">
        <v>261</v>
      </c>
      <c r="P165">
        <v>0</v>
      </c>
    </row>
    <row r="166" spans="1:16" x14ac:dyDescent="0.3">
      <c r="A166" s="3" t="s">
        <v>162</v>
      </c>
      <c r="B166" s="3">
        <v>45562</v>
      </c>
      <c r="C166">
        <v>2024</v>
      </c>
      <c r="D166" t="str">
        <f t="shared" si="6"/>
        <v>September</v>
      </c>
      <c r="E166" t="str">
        <f t="shared" si="7"/>
        <v>Friday</v>
      </c>
      <c r="F166" s="4">
        <v>0.47569444444444442</v>
      </c>
      <c r="G166" s="4" t="str">
        <f t="shared" si="8"/>
        <v>11:00 AM – 12:00 PM</v>
      </c>
      <c r="H166">
        <v>406</v>
      </c>
      <c r="I166">
        <v>685</v>
      </c>
      <c r="J166">
        <v>21</v>
      </c>
      <c r="K166">
        <v>302</v>
      </c>
      <c r="L166">
        <v>1</v>
      </c>
      <c r="M166">
        <v>1</v>
      </c>
      <c r="N166">
        <v>3</v>
      </c>
      <c r="O166">
        <v>312</v>
      </c>
      <c r="P166">
        <v>3</v>
      </c>
    </row>
    <row r="167" spans="1:16" x14ac:dyDescent="0.3">
      <c r="A167" s="3" t="s">
        <v>281</v>
      </c>
      <c r="B167" s="3">
        <v>45443</v>
      </c>
      <c r="C167">
        <v>2024</v>
      </c>
      <c r="D167" t="str">
        <f t="shared" si="6"/>
        <v>May</v>
      </c>
      <c r="E167" t="str">
        <f t="shared" si="7"/>
        <v>Friday</v>
      </c>
      <c r="F167" s="4">
        <v>0.28819444444444442</v>
      </c>
      <c r="G167" s="4" t="str">
        <f t="shared" si="8"/>
        <v>6:00 AM – 7:00 AM</v>
      </c>
      <c r="H167">
        <v>287</v>
      </c>
      <c r="I167">
        <v>511</v>
      </c>
      <c r="J167">
        <v>21</v>
      </c>
      <c r="K167">
        <v>259</v>
      </c>
      <c r="L167">
        <v>1</v>
      </c>
      <c r="M167">
        <v>2</v>
      </c>
      <c r="N167">
        <v>2</v>
      </c>
      <c r="O167">
        <v>291</v>
      </c>
      <c r="P167">
        <v>0</v>
      </c>
    </row>
    <row r="168" spans="1:16" x14ac:dyDescent="0.3">
      <c r="A168" s="3" t="s">
        <v>315</v>
      </c>
      <c r="B168" s="3">
        <v>45409</v>
      </c>
      <c r="C168">
        <v>2024</v>
      </c>
      <c r="D168" t="str">
        <f t="shared" si="6"/>
        <v>April</v>
      </c>
      <c r="E168" t="str">
        <f t="shared" si="7"/>
        <v>Saturday</v>
      </c>
      <c r="F168" s="4">
        <v>0.23333333333333334</v>
      </c>
      <c r="G168" s="4" t="str">
        <f t="shared" si="8"/>
        <v>5:00 AM – 6:00 AM</v>
      </c>
      <c r="H168">
        <v>253</v>
      </c>
      <c r="I168">
        <v>457</v>
      </c>
      <c r="J168">
        <v>21</v>
      </c>
      <c r="K168">
        <v>318</v>
      </c>
      <c r="L168">
        <v>1</v>
      </c>
      <c r="M168">
        <v>5</v>
      </c>
      <c r="N168">
        <v>0</v>
      </c>
      <c r="O168">
        <v>325</v>
      </c>
      <c r="P168">
        <v>1</v>
      </c>
    </row>
    <row r="169" spans="1:16" x14ac:dyDescent="0.3">
      <c r="A169" s="3" t="s">
        <v>370</v>
      </c>
      <c r="B169" s="3">
        <v>45355</v>
      </c>
      <c r="C169">
        <v>2024</v>
      </c>
      <c r="D169" t="str">
        <f t="shared" si="6"/>
        <v>March</v>
      </c>
      <c r="E169" t="str">
        <f t="shared" si="7"/>
        <v>Monday</v>
      </c>
      <c r="F169" s="4">
        <v>0.15763888888888888</v>
      </c>
      <c r="G169" s="4" t="str">
        <f t="shared" si="8"/>
        <v>3:00 AM – 4:00 AM</v>
      </c>
      <c r="H169">
        <v>198</v>
      </c>
      <c r="I169">
        <v>131</v>
      </c>
      <c r="J169">
        <v>21</v>
      </c>
      <c r="K169">
        <v>377</v>
      </c>
      <c r="L169">
        <v>3</v>
      </c>
      <c r="M169">
        <v>2</v>
      </c>
      <c r="N169">
        <v>5</v>
      </c>
      <c r="O169">
        <v>399</v>
      </c>
      <c r="P169">
        <v>-1</v>
      </c>
    </row>
    <row r="170" spans="1:16" x14ac:dyDescent="0.3">
      <c r="A170" s="3" t="s">
        <v>25</v>
      </c>
      <c r="B170" s="3">
        <v>45699</v>
      </c>
      <c r="C170">
        <v>2025</v>
      </c>
      <c r="D170" t="str">
        <f t="shared" si="6"/>
        <v>February</v>
      </c>
      <c r="E170" t="str">
        <f t="shared" si="7"/>
        <v>Tuesday</v>
      </c>
      <c r="F170" s="4">
        <v>0.6118055555555556</v>
      </c>
      <c r="G170" s="4" t="str">
        <f t="shared" si="8"/>
        <v>2:00 PM – 3:00 PM</v>
      </c>
      <c r="H170">
        <v>543</v>
      </c>
      <c r="I170">
        <v>1293</v>
      </c>
      <c r="J170">
        <v>20</v>
      </c>
      <c r="K170">
        <v>524</v>
      </c>
      <c r="L170">
        <v>1</v>
      </c>
      <c r="M170">
        <v>2</v>
      </c>
      <c r="N170">
        <v>0</v>
      </c>
      <c r="O170">
        <v>527</v>
      </c>
      <c r="P170">
        <v>0</v>
      </c>
    </row>
    <row r="171" spans="1:16" x14ac:dyDescent="0.3">
      <c r="A171" s="3" t="s">
        <v>45</v>
      </c>
      <c r="B171" s="3">
        <v>45679</v>
      </c>
      <c r="C171">
        <v>2025</v>
      </c>
      <c r="D171" t="str">
        <f t="shared" si="6"/>
        <v>January</v>
      </c>
      <c r="E171" t="str">
        <f t="shared" si="7"/>
        <v>Wednesday</v>
      </c>
      <c r="F171" s="4">
        <v>0.60972222222222228</v>
      </c>
      <c r="G171" s="4" t="str">
        <f t="shared" si="8"/>
        <v>2:00 PM – 3:00 PM</v>
      </c>
      <c r="H171">
        <v>523</v>
      </c>
      <c r="I171">
        <v>1287</v>
      </c>
      <c r="J171">
        <v>20</v>
      </c>
      <c r="K171">
        <v>273</v>
      </c>
      <c r="L171">
        <v>1</v>
      </c>
      <c r="M171">
        <v>2</v>
      </c>
      <c r="N171">
        <v>2</v>
      </c>
      <c r="O171">
        <v>277</v>
      </c>
      <c r="P171">
        <v>1</v>
      </c>
    </row>
    <row r="172" spans="1:16" x14ac:dyDescent="0.3">
      <c r="A172" s="3" t="s">
        <v>144</v>
      </c>
      <c r="B172" s="3">
        <v>45580</v>
      </c>
      <c r="C172">
        <v>2024</v>
      </c>
      <c r="D172" t="str">
        <f t="shared" si="6"/>
        <v>October</v>
      </c>
      <c r="E172" t="str">
        <f t="shared" si="7"/>
        <v>Tuesday</v>
      </c>
      <c r="F172" s="4">
        <v>0.47847222222222224</v>
      </c>
      <c r="G172" s="4" t="str">
        <f t="shared" si="8"/>
        <v>11:00 AM – 12:00 PM</v>
      </c>
      <c r="H172">
        <v>424</v>
      </c>
      <c r="I172">
        <v>744</v>
      </c>
      <c r="J172">
        <v>20</v>
      </c>
      <c r="K172">
        <v>225</v>
      </c>
      <c r="L172">
        <v>1</v>
      </c>
      <c r="M172">
        <v>5</v>
      </c>
      <c r="N172">
        <v>9</v>
      </c>
      <c r="O172">
        <v>237</v>
      </c>
      <c r="P172">
        <v>1</v>
      </c>
    </row>
    <row r="173" spans="1:16" x14ac:dyDescent="0.3">
      <c r="A173" s="3" t="s">
        <v>148</v>
      </c>
      <c r="B173" s="3">
        <v>45576</v>
      </c>
      <c r="C173">
        <v>2024</v>
      </c>
      <c r="D173" t="str">
        <f t="shared" si="6"/>
        <v>October</v>
      </c>
      <c r="E173" t="str">
        <f t="shared" si="7"/>
        <v>Friday</v>
      </c>
      <c r="F173" s="4">
        <v>0.45694444444444443</v>
      </c>
      <c r="G173" s="4" t="str">
        <f t="shared" si="8"/>
        <v>10:00 AM – 11:00 AM</v>
      </c>
      <c r="H173">
        <v>420</v>
      </c>
      <c r="I173">
        <v>740</v>
      </c>
      <c r="J173">
        <v>20</v>
      </c>
      <c r="K173">
        <v>480</v>
      </c>
      <c r="L173">
        <v>2</v>
      </c>
      <c r="M173">
        <v>3</v>
      </c>
      <c r="N173">
        <v>5</v>
      </c>
      <c r="O173">
        <v>484</v>
      </c>
      <c r="P173">
        <v>2</v>
      </c>
    </row>
    <row r="174" spans="1:16" x14ac:dyDescent="0.3">
      <c r="A174" s="3" t="s">
        <v>157</v>
      </c>
      <c r="B174" s="3">
        <v>45567</v>
      </c>
      <c r="C174">
        <v>2024</v>
      </c>
      <c r="D174" t="str">
        <f t="shared" si="6"/>
        <v>October</v>
      </c>
      <c r="E174" t="str">
        <f t="shared" si="7"/>
        <v>Wednesday</v>
      </c>
      <c r="F174" s="4">
        <v>0.46180555555555558</v>
      </c>
      <c r="G174" s="4" t="str">
        <f t="shared" si="8"/>
        <v>11:00 AM – 12:00 PM</v>
      </c>
      <c r="H174">
        <v>411</v>
      </c>
      <c r="I174">
        <v>696</v>
      </c>
      <c r="J174">
        <v>20</v>
      </c>
      <c r="K174">
        <v>561</v>
      </c>
      <c r="L174">
        <v>3</v>
      </c>
      <c r="M174">
        <v>4</v>
      </c>
      <c r="N174">
        <v>7</v>
      </c>
      <c r="O174">
        <v>578</v>
      </c>
      <c r="P174">
        <v>6</v>
      </c>
    </row>
    <row r="175" spans="1:16" x14ac:dyDescent="0.3">
      <c r="A175" s="3" t="s">
        <v>180</v>
      </c>
      <c r="B175" s="3">
        <v>45544</v>
      </c>
      <c r="C175">
        <v>2024</v>
      </c>
      <c r="D175" t="str">
        <f t="shared" si="6"/>
        <v>September</v>
      </c>
      <c r="E175" t="str">
        <f t="shared" si="7"/>
        <v>Monday</v>
      </c>
      <c r="F175" s="4">
        <v>0.29930555555555555</v>
      </c>
      <c r="G175" s="4" t="str">
        <f t="shared" si="8"/>
        <v>7:00 AM – 8:00 AM</v>
      </c>
      <c r="H175">
        <v>388</v>
      </c>
      <c r="I175">
        <v>627</v>
      </c>
      <c r="J175">
        <v>20</v>
      </c>
      <c r="K175">
        <v>340</v>
      </c>
      <c r="L175">
        <v>2</v>
      </c>
      <c r="M175">
        <v>14</v>
      </c>
      <c r="N175">
        <v>7</v>
      </c>
      <c r="O175">
        <v>326</v>
      </c>
      <c r="P175">
        <v>5</v>
      </c>
    </row>
    <row r="176" spans="1:16" x14ac:dyDescent="0.3">
      <c r="A176" s="3" t="s">
        <v>245</v>
      </c>
      <c r="B176" s="3">
        <v>45479</v>
      </c>
      <c r="C176">
        <v>2024</v>
      </c>
      <c r="D176" t="str">
        <f t="shared" si="6"/>
        <v>July</v>
      </c>
      <c r="E176" t="str">
        <f t="shared" si="7"/>
        <v>Saturday</v>
      </c>
      <c r="F176" s="4">
        <v>0.31388888888888888</v>
      </c>
      <c r="G176" s="4" t="str">
        <f t="shared" si="8"/>
        <v>7:00 AM – 8:00 AM</v>
      </c>
      <c r="H176">
        <v>323</v>
      </c>
      <c r="I176">
        <v>572</v>
      </c>
      <c r="J176">
        <v>20</v>
      </c>
      <c r="K176">
        <v>131</v>
      </c>
      <c r="L176">
        <v>2</v>
      </c>
      <c r="M176">
        <v>3</v>
      </c>
      <c r="N176">
        <v>4</v>
      </c>
      <c r="O176">
        <v>135</v>
      </c>
      <c r="P176">
        <v>-1</v>
      </c>
    </row>
    <row r="177" spans="1:16" x14ac:dyDescent="0.3">
      <c r="A177" s="3" t="s">
        <v>255</v>
      </c>
      <c r="B177" s="3">
        <v>45469</v>
      </c>
      <c r="C177">
        <v>2024</v>
      </c>
      <c r="D177" t="str">
        <f t="shared" si="6"/>
        <v>June</v>
      </c>
      <c r="E177" t="str">
        <f t="shared" si="7"/>
        <v>Wednesday</v>
      </c>
      <c r="F177" s="4">
        <v>0.28958333333333336</v>
      </c>
      <c r="G177" s="4" t="str">
        <f t="shared" si="8"/>
        <v>6:00 AM – 7:00 AM</v>
      </c>
      <c r="H177">
        <v>313</v>
      </c>
      <c r="I177">
        <v>524</v>
      </c>
      <c r="J177">
        <v>20</v>
      </c>
      <c r="K177">
        <v>236</v>
      </c>
      <c r="L177">
        <v>1</v>
      </c>
      <c r="M177">
        <v>5</v>
      </c>
      <c r="N177">
        <v>1</v>
      </c>
      <c r="O177">
        <v>274</v>
      </c>
      <c r="P177">
        <v>1</v>
      </c>
    </row>
    <row r="178" spans="1:16" x14ac:dyDescent="0.3">
      <c r="A178" s="3" t="s">
        <v>329</v>
      </c>
      <c r="B178" s="3">
        <v>45395</v>
      </c>
      <c r="C178">
        <v>2024</v>
      </c>
      <c r="D178" t="str">
        <f t="shared" si="6"/>
        <v>April</v>
      </c>
      <c r="E178" t="str">
        <f t="shared" si="7"/>
        <v>Saturday</v>
      </c>
      <c r="F178" s="4">
        <v>0.22291666666666668</v>
      </c>
      <c r="G178" s="4" t="str">
        <f t="shared" si="8"/>
        <v>5:00 AM – 6:00 AM</v>
      </c>
      <c r="H178">
        <v>239</v>
      </c>
      <c r="I178">
        <v>396</v>
      </c>
      <c r="J178">
        <v>20</v>
      </c>
      <c r="K178">
        <v>262</v>
      </c>
      <c r="L178">
        <v>1</v>
      </c>
      <c r="M178">
        <v>12</v>
      </c>
      <c r="N178">
        <v>8</v>
      </c>
      <c r="O178">
        <v>303</v>
      </c>
      <c r="P178">
        <v>9</v>
      </c>
    </row>
    <row r="179" spans="1:16" x14ac:dyDescent="0.3">
      <c r="A179" s="3" t="s">
        <v>349</v>
      </c>
      <c r="B179" s="3">
        <v>45376</v>
      </c>
      <c r="C179">
        <v>2024</v>
      </c>
      <c r="D179" t="str">
        <f t="shared" si="6"/>
        <v>March</v>
      </c>
      <c r="E179" t="str">
        <f t="shared" si="7"/>
        <v>Monday</v>
      </c>
      <c r="F179" s="4">
        <v>0.25416666666666665</v>
      </c>
      <c r="G179" s="4" t="str">
        <f t="shared" si="8"/>
        <v>6:00 AM – 7:00 AM</v>
      </c>
      <c r="H179">
        <v>219</v>
      </c>
      <c r="I179">
        <v>173</v>
      </c>
      <c r="J179">
        <v>20</v>
      </c>
      <c r="K179">
        <v>292</v>
      </c>
      <c r="L179">
        <v>1</v>
      </c>
      <c r="M179">
        <v>2</v>
      </c>
      <c r="N179">
        <v>1</v>
      </c>
      <c r="O179">
        <v>288</v>
      </c>
      <c r="P179">
        <v>10</v>
      </c>
    </row>
    <row r="180" spans="1:16" x14ac:dyDescent="0.3">
      <c r="A180" s="3" t="s">
        <v>408</v>
      </c>
      <c r="B180" s="3">
        <v>45317</v>
      </c>
      <c r="C180">
        <v>2024</v>
      </c>
      <c r="D180" t="str">
        <f t="shared" si="6"/>
        <v>January</v>
      </c>
      <c r="E180" t="str">
        <f t="shared" si="7"/>
        <v>Friday</v>
      </c>
      <c r="F180" s="4">
        <v>0.20902777777777778</v>
      </c>
      <c r="G180" s="4" t="str">
        <f t="shared" si="8"/>
        <v>5:00 AM – 6:00 AM</v>
      </c>
      <c r="H180">
        <v>160</v>
      </c>
      <c r="I180">
        <v>120</v>
      </c>
      <c r="J180">
        <v>20</v>
      </c>
      <c r="K180">
        <v>142</v>
      </c>
      <c r="L180">
        <v>1</v>
      </c>
      <c r="M180">
        <v>0</v>
      </c>
      <c r="N180">
        <v>0</v>
      </c>
      <c r="O180">
        <v>147</v>
      </c>
      <c r="P180">
        <v>2</v>
      </c>
    </row>
    <row r="181" spans="1:16" x14ac:dyDescent="0.3">
      <c r="A181" s="3" t="s">
        <v>129</v>
      </c>
      <c r="B181" s="3">
        <v>45595</v>
      </c>
      <c r="C181">
        <v>2024</v>
      </c>
      <c r="D181" t="str">
        <f t="shared" si="6"/>
        <v>October</v>
      </c>
      <c r="E181" t="str">
        <f t="shared" si="7"/>
        <v>Wednesday</v>
      </c>
      <c r="F181" s="4">
        <v>0.5395833333333333</v>
      </c>
      <c r="G181" s="4" t="str">
        <f t="shared" si="8"/>
        <v>12:00 PM – 1:00 PM</v>
      </c>
      <c r="H181">
        <v>439</v>
      </c>
      <c r="I181">
        <v>763</v>
      </c>
      <c r="J181">
        <v>19</v>
      </c>
      <c r="K181">
        <v>225</v>
      </c>
      <c r="L181">
        <v>1</v>
      </c>
      <c r="M181">
        <v>0</v>
      </c>
      <c r="N181">
        <v>0</v>
      </c>
      <c r="O181">
        <v>230</v>
      </c>
      <c r="P181">
        <v>2</v>
      </c>
    </row>
    <row r="182" spans="1:16" x14ac:dyDescent="0.3">
      <c r="A182" s="3" t="s">
        <v>194</v>
      </c>
      <c r="B182" s="3">
        <v>45530</v>
      </c>
      <c r="C182">
        <v>2024</v>
      </c>
      <c r="D182" t="str">
        <f t="shared" si="6"/>
        <v>August</v>
      </c>
      <c r="E182" t="str">
        <f t="shared" si="7"/>
        <v>Monday</v>
      </c>
      <c r="F182" s="4">
        <v>0.2902777777777778</v>
      </c>
      <c r="G182" s="4" t="str">
        <f t="shared" si="8"/>
        <v>6:00 AM – 7:00 AM</v>
      </c>
      <c r="H182">
        <v>374</v>
      </c>
      <c r="I182">
        <v>580</v>
      </c>
      <c r="J182">
        <v>19</v>
      </c>
      <c r="K182">
        <v>446</v>
      </c>
      <c r="L182">
        <v>3</v>
      </c>
      <c r="M182">
        <v>1</v>
      </c>
      <c r="N182">
        <v>17</v>
      </c>
      <c r="O182">
        <v>496</v>
      </c>
      <c r="P182">
        <v>4</v>
      </c>
    </row>
    <row r="183" spans="1:16" x14ac:dyDescent="0.3">
      <c r="A183" s="3" t="s">
        <v>222</v>
      </c>
      <c r="B183" s="3">
        <v>45502</v>
      </c>
      <c r="C183">
        <v>2024</v>
      </c>
      <c r="D183" t="str">
        <f t="shared" si="6"/>
        <v>July</v>
      </c>
      <c r="E183" t="str">
        <f t="shared" si="7"/>
        <v>Monday</v>
      </c>
      <c r="F183" s="4">
        <v>0.29097222222222224</v>
      </c>
      <c r="G183" s="4" t="str">
        <f t="shared" si="8"/>
        <v>6:00 AM – 7:00 AM</v>
      </c>
      <c r="H183">
        <v>346</v>
      </c>
      <c r="I183">
        <v>567</v>
      </c>
      <c r="J183">
        <v>19</v>
      </c>
      <c r="K183">
        <v>142</v>
      </c>
      <c r="L183">
        <v>4</v>
      </c>
      <c r="M183">
        <v>3</v>
      </c>
      <c r="N183">
        <v>9</v>
      </c>
      <c r="O183">
        <v>164</v>
      </c>
      <c r="P183">
        <v>0</v>
      </c>
    </row>
    <row r="184" spans="1:16" x14ac:dyDescent="0.3">
      <c r="A184" s="3" t="s">
        <v>262</v>
      </c>
      <c r="B184" s="3">
        <v>45462</v>
      </c>
      <c r="C184">
        <v>2024</v>
      </c>
      <c r="D184" t="str">
        <f t="shared" si="6"/>
        <v>June</v>
      </c>
      <c r="E184" t="str">
        <f t="shared" si="7"/>
        <v>Wednesday</v>
      </c>
      <c r="F184" s="4">
        <v>0.34791666666666665</v>
      </c>
      <c r="G184" s="4" t="str">
        <f t="shared" si="8"/>
        <v>8:00 AM – 9:00 AM</v>
      </c>
      <c r="H184">
        <v>306</v>
      </c>
      <c r="I184">
        <v>523</v>
      </c>
      <c r="J184">
        <v>19</v>
      </c>
      <c r="K184">
        <v>137</v>
      </c>
      <c r="L184">
        <v>1</v>
      </c>
      <c r="M184">
        <v>2</v>
      </c>
      <c r="N184">
        <v>3</v>
      </c>
      <c r="O184">
        <v>157</v>
      </c>
      <c r="P184">
        <v>2</v>
      </c>
    </row>
    <row r="185" spans="1:16" x14ac:dyDescent="0.3">
      <c r="A185" s="3" t="s">
        <v>293</v>
      </c>
      <c r="B185" s="3">
        <v>45431</v>
      </c>
      <c r="C185">
        <v>2024</v>
      </c>
      <c r="D185" t="str">
        <f t="shared" si="6"/>
        <v>May</v>
      </c>
      <c r="E185" t="str">
        <f t="shared" si="7"/>
        <v>Sunday</v>
      </c>
      <c r="F185" s="4">
        <v>0.20277777777777778</v>
      </c>
      <c r="G185" s="4" t="str">
        <f t="shared" si="8"/>
        <v>4:00 AM – 5:00 AM</v>
      </c>
      <c r="H185">
        <v>275</v>
      </c>
      <c r="I185">
        <v>495</v>
      </c>
      <c r="J185">
        <v>19</v>
      </c>
      <c r="K185">
        <v>149</v>
      </c>
      <c r="L185">
        <v>1</v>
      </c>
      <c r="M185">
        <v>3</v>
      </c>
      <c r="N185">
        <v>7</v>
      </c>
      <c r="O185">
        <v>164</v>
      </c>
      <c r="P185">
        <v>0</v>
      </c>
    </row>
    <row r="186" spans="1:16" x14ac:dyDescent="0.3">
      <c r="A186" s="3" t="s">
        <v>314</v>
      </c>
      <c r="B186" s="3">
        <v>45410</v>
      </c>
      <c r="C186">
        <v>2024</v>
      </c>
      <c r="D186" t="str">
        <f t="shared" si="6"/>
        <v>April</v>
      </c>
      <c r="E186" t="str">
        <f t="shared" si="7"/>
        <v>Sunday</v>
      </c>
      <c r="F186" s="4">
        <v>0.27847222222222223</v>
      </c>
      <c r="G186" s="4" t="str">
        <f t="shared" si="8"/>
        <v>6:00 AM – 7:00 AM</v>
      </c>
      <c r="H186">
        <v>254</v>
      </c>
      <c r="I186">
        <v>461</v>
      </c>
      <c r="J186">
        <v>19</v>
      </c>
      <c r="K186">
        <v>697</v>
      </c>
      <c r="L186">
        <v>1</v>
      </c>
      <c r="M186">
        <v>7</v>
      </c>
      <c r="N186">
        <v>6</v>
      </c>
      <c r="O186">
        <v>714</v>
      </c>
      <c r="P186">
        <v>4</v>
      </c>
    </row>
    <row r="187" spans="1:16" x14ac:dyDescent="0.3">
      <c r="A187" s="3" t="s">
        <v>320</v>
      </c>
      <c r="B187" s="3">
        <v>45404</v>
      </c>
      <c r="C187">
        <v>2024</v>
      </c>
      <c r="D187" t="str">
        <f t="shared" si="6"/>
        <v>April</v>
      </c>
      <c r="E187" t="str">
        <f t="shared" si="7"/>
        <v>Monday</v>
      </c>
      <c r="F187" s="4">
        <v>0.34861111111111109</v>
      </c>
      <c r="G187" s="4" t="str">
        <f t="shared" si="8"/>
        <v>8:00 AM – 9:00 AM</v>
      </c>
      <c r="H187">
        <v>248</v>
      </c>
      <c r="I187">
        <v>450</v>
      </c>
      <c r="J187">
        <v>19</v>
      </c>
      <c r="K187">
        <v>254</v>
      </c>
      <c r="L187">
        <v>4</v>
      </c>
      <c r="M187">
        <v>4</v>
      </c>
      <c r="N187">
        <v>2</v>
      </c>
      <c r="O187">
        <v>264</v>
      </c>
      <c r="P187">
        <v>-1</v>
      </c>
    </row>
    <row r="188" spans="1:16" x14ac:dyDescent="0.3">
      <c r="A188" s="3" t="s">
        <v>457</v>
      </c>
      <c r="B188" s="3">
        <v>45269</v>
      </c>
      <c r="C188">
        <v>2023</v>
      </c>
      <c r="D188" t="str">
        <f t="shared" si="6"/>
        <v>December</v>
      </c>
      <c r="E188" t="str">
        <f t="shared" si="7"/>
        <v>Saturday</v>
      </c>
      <c r="F188" s="4">
        <v>0.13125000000000001</v>
      </c>
      <c r="G188" s="4" t="str">
        <f t="shared" si="8"/>
        <v>3:00 AM – 4:00 AM</v>
      </c>
      <c r="H188">
        <v>109</v>
      </c>
      <c r="I188">
        <v>29</v>
      </c>
      <c r="J188">
        <v>19</v>
      </c>
      <c r="K188">
        <v>150</v>
      </c>
      <c r="L188">
        <v>2</v>
      </c>
      <c r="M188">
        <v>0</v>
      </c>
      <c r="N188">
        <v>0</v>
      </c>
      <c r="O188">
        <v>149</v>
      </c>
      <c r="P188">
        <v>0</v>
      </c>
    </row>
    <row r="189" spans="1:16" x14ac:dyDescent="0.3">
      <c r="A189" s="3" t="s">
        <v>484</v>
      </c>
      <c r="B189" s="3">
        <v>45243</v>
      </c>
      <c r="C189">
        <v>2023</v>
      </c>
      <c r="D189" t="str">
        <f t="shared" si="6"/>
        <v>November</v>
      </c>
      <c r="E189" t="str">
        <f t="shared" si="7"/>
        <v>Monday</v>
      </c>
      <c r="F189" s="4">
        <v>0.10347222222222222</v>
      </c>
      <c r="G189" s="4" t="str">
        <f t="shared" si="8"/>
        <v>2:00 AM – 3:00 AM</v>
      </c>
      <c r="H189">
        <v>82</v>
      </c>
      <c r="I189">
        <v>24</v>
      </c>
      <c r="J189">
        <v>19</v>
      </c>
      <c r="K189">
        <v>218</v>
      </c>
      <c r="L189">
        <v>0</v>
      </c>
      <c r="M189">
        <v>2</v>
      </c>
      <c r="N189">
        <v>0</v>
      </c>
      <c r="O189">
        <v>222</v>
      </c>
      <c r="P189">
        <v>24</v>
      </c>
    </row>
    <row r="190" spans="1:16" x14ac:dyDescent="0.3">
      <c r="A190" s="3" t="s">
        <v>133</v>
      </c>
      <c r="B190" s="3">
        <v>45591</v>
      </c>
      <c r="C190">
        <v>2024</v>
      </c>
      <c r="D190" t="str">
        <f t="shared" si="6"/>
        <v>October</v>
      </c>
      <c r="E190" t="str">
        <f t="shared" si="7"/>
        <v>Saturday</v>
      </c>
      <c r="F190" s="4">
        <v>0.55555555555555558</v>
      </c>
      <c r="G190" s="4" t="str">
        <f t="shared" si="8"/>
        <v>1:00 PM – 2:00 PM</v>
      </c>
      <c r="H190">
        <v>435</v>
      </c>
      <c r="I190">
        <v>760</v>
      </c>
      <c r="J190">
        <v>18</v>
      </c>
      <c r="K190">
        <v>214</v>
      </c>
      <c r="L190">
        <v>1</v>
      </c>
      <c r="M190">
        <v>3</v>
      </c>
      <c r="N190">
        <v>6</v>
      </c>
      <c r="O190">
        <v>217</v>
      </c>
      <c r="P190">
        <v>3</v>
      </c>
    </row>
    <row r="191" spans="1:16" x14ac:dyDescent="0.3">
      <c r="A191" s="3" t="s">
        <v>229</v>
      </c>
      <c r="B191" s="3">
        <v>45495</v>
      </c>
      <c r="C191">
        <v>2024</v>
      </c>
      <c r="D191" t="str">
        <f t="shared" si="6"/>
        <v>July</v>
      </c>
      <c r="E191" t="str">
        <f t="shared" si="7"/>
        <v>Monday</v>
      </c>
      <c r="F191" s="4">
        <v>0.28333333333333333</v>
      </c>
      <c r="G191" s="4" t="str">
        <f t="shared" si="8"/>
        <v>6:00 AM – 7:00 AM</v>
      </c>
      <c r="H191">
        <v>339</v>
      </c>
      <c r="I191">
        <v>568</v>
      </c>
      <c r="J191">
        <v>18</v>
      </c>
      <c r="K191">
        <v>271</v>
      </c>
      <c r="L191">
        <v>4</v>
      </c>
      <c r="M191">
        <v>1</v>
      </c>
      <c r="N191">
        <v>1</v>
      </c>
      <c r="O191">
        <v>278</v>
      </c>
      <c r="P191">
        <v>-1</v>
      </c>
    </row>
    <row r="192" spans="1:16" x14ac:dyDescent="0.3">
      <c r="A192" s="3" t="s">
        <v>238</v>
      </c>
      <c r="B192" s="3">
        <v>45486</v>
      </c>
      <c r="C192">
        <v>2024</v>
      </c>
      <c r="D192" t="str">
        <f t="shared" si="6"/>
        <v>July</v>
      </c>
      <c r="E192" t="str">
        <f t="shared" si="7"/>
        <v>Saturday</v>
      </c>
      <c r="F192" s="4">
        <v>0.29097222222222224</v>
      </c>
      <c r="G192" s="4" t="str">
        <f t="shared" si="8"/>
        <v>6:00 AM – 7:00 AM</v>
      </c>
      <c r="H192">
        <v>330</v>
      </c>
      <c r="I192">
        <v>572</v>
      </c>
      <c r="J192">
        <v>18</v>
      </c>
      <c r="K192">
        <v>334</v>
      </c>
      <c r="L192">
        <v>1</v>
      </c>
      <c r="M192">
        <v>4</v>
      </c>
      <c r="N192">
        <v>4</v>
      </c>
      <c r="O192">
        <v>298</v>
      </c>
      <c r="P192">
        <v>1</v>
      </c>
    </row>
    <row r="193" spans="1:16" x14ac:dyDescent="0.3">
      <c r="A193" s="3" t="s">
        <v>249</v>
      </c>
      <c r="B193" s="3">
        <v>45475</v>
      </c>
      <c r="C193">
        <v>2024</v>
      </c>
      <c r="D193" t="str">
        <f t="shared" si="6"/>
        <v>July</v>
      </c>
      <c r="E193" t="str">
        <f t="shared" si="7"/>
        <v>Tuesday</v>
      </c>
      <c r="F193" s="4">
        <v>0.35069444444444442</v>
      </c>
      <c r="G193" s="4" t="str">
        <f t="shared" si="8"/>
        <v>8:00 AM – 9:00 AM</v>
      </c>
      <c r="H193">
        <v>319</v>
      </c>
      <c r="I193">
        <v>557</v>
      </c>
      <c r="J193">
        <v>18</v>
      </c>
      <c r="K193">
        <v>168</v>
      </c>
      <c r="L193">
        <v>2</v>
      </c>
      <c r="M193">
        <v>0</v>
      </c>
      <c r="N193">
        <v>6</v>
      </c>
      <c r="O193">
        <v>181</v>
      </c>
      <c r="P193">
        <v>4</v>
      </c>
    </row>
    <row r="194" spans="1:16" x14ac:dyDescent="0.3">
      <c r="A194" s="3" t="s">
        <v>51</v>
      </c>
      <c r="B194" s="3">
        <v>45673</v>
      </c>
      <c r="C194">
        <v>2025</v>
      </c>
      <c r="D194" t="str">
        <f t="shared" ref="D194:D257" si="9">TEXT(B194,"MMMM")</f>
        <v>January</v>
      </c>
      <c r="E194" t="str">
        <f t="shared" ref="E194:E257" si="10">TEXT(B194,"dddd")</f>
        <v>Thursday</v>
      </c>
      <c r="F194" s="4">
        <v>0.6118055555555556</v>
      </c>
      <c r="G194" s="4" t="str">
        <f t="shared" ref="G194:G257" si="11">TEXT(FLOOR(F194,"1:00"),"h:mm AM/PM") &amp; " – " &amp; TEXT(FLOOR(F194,"1:00") + TIME(1,0,0),"h:mm AM/PM")</f>
        <v>2:00 PM – 3:00 PM</v>
      </c>
      <c r="H194">
        <v>517</v>
      </c>
      <c r="I194">
        <v>1274</v>
      </c>
      <c r="J194">
        <v>17</v>
      </c>
      <c r="K194">
        <v>431</v>
      </c>
      <c r="L194">
        <v>1</v>
      </c>
      <c r="M194">
        <v>4</v>
      </c>
      <c r="N194">
        <v>8</v>
      </c>
      <c r="O194">
        <v>447</v>
      </c>
      <c r="P194">
        <v>0</v>
      </c>
    </row>
    <row r="195" spans="1:16" x14ac:dyDescent="0.3">
      <c r="A195" s="3" t="s">
        <v>64</v>
      </c>
      <c r="B195" s="3">
        <v>45660</v>
      </c>
      <c r="C195">
        <v>2025</v>
      </c>
      <c r="D195" t="str">
        <f t="shared" si="9"/>
        <v>January</v>
      </c>
      <c r="E195" t="str">
        <f t="shared" si="10"/>
        <v>Friday</v>
      </c>
      <c r="F195" s="4">
        <v>0.58888888888888891</v>
      </c>
      <c r="G195" s="4" t="str">
        <f t="shared" si="11"/>
        <v>2:00 PM – 3:00 PM</v>
      </c>
      <c r="H195">
        <v>504</v>
      </c>
      <c r="I195">
        <v>1220</v>
      </c>
      <c r="J195">
        <v>17</v>
      </c>
      <c r="K195">
        <v>481</v>
      </c>
      <c r="L195">
        <v>1</v>
      </c>
      <c r="M195">
        <v>0</v>
      </c>
      <c r="N195">
        <v>3</v>
      </c>
      <c r="O195">
        <v>467</v>
      </c>
      <c r="P195">
        <v>139</v>
      </c>
    </row>
    <row r="196" spans="1:16" x14ac:dyDescent="0.3">
      <c r="A196" s="3" t="s">
        <v>115</v>
      </c>
      <c r="B196" s="3">
        <v>45609</v>
      </c>
      <c r="C196">
        <v>2024</v>
      </c>
      <c r="D196" t="str">
        <f t="shared" si="9"/>
        <v>November</v>
      </c>
      <c r="E196" t="str">
        <f t="shared" si="10"/>
        <v>Wednesday</v>
      </c>
      <c r="F196" s="4">
        <v>0.53819444444444442</v>
      </c>
      <c r="G196" s="4" t="str">
        <f t="shared" si="11"/>
        <v>12:00 PM – 1:00 PM</v>
      </c>
      <c r="H196">
        <v>453</v>
      </c>
      <c r="I196">
        <v>778</v>
      </c>
      <c r="J196">
        <v>17</v>
      </c>
      <c r="K196">
        <v>323</v>
      </c>
      <c r="L196">
        <v>1</v>
      </c>
      <c r="M196">
        <v>2</v>
      </c>
      <c r="N196">
        <v>0</v>
      </c>
      <c r="O196">
        <v>324</v>
      </c>
      <c r="P196">
        <v>2</v>
      </c>
    </row>
    <row r="197" spans="1:16" x14ac:dyDescent="0.3">
      <c r="A197" s="3" t="s">
        <v>195</v>
      </c>
      <c r="B197" s="3">
        <v>45529</v>
      </c>
      <c r="C197">
        <v>2024</v>
      </c>
      <c r="D197" t="str">
        <f t="shared" si="9"/>
        <v>August</v>
      </c>
      <c r="E197" t="str">
        <f t="shared" si="10"/>
        <v>Sunday</v>
      </c>
      <c r="F197" s="4">
        <v>0.28611111111111109</v>
      </c>
      <c r="G197" s="4" t="str">
        <f t="shared" si="11"/>
        <v>6:00 AM – 7:00 AM</v>
      </c>
      <c r="H197">
        <v>373</v>
      </c>
      <c r="I197">
        <v>576</v>
      </c>
      <c r="J197">
        <v>17</v>
      </c>
      <c r="K197">
        <v>188</v>
      </c>
      <c r="L197">
        <v>1</v>
      </c>
      <c r="M197">
        <v>0</v>
      </c>
      <c r="N197">
        <v>2</v>
      </c>
      <c r="O197">
        <v>193</v>
      </c>
      <c r="P197">
        <v>2</v>
      </c>
    </row>
    <row r="198" spans="1:16" x14ac:dyDescent="0.3">
      <c r="A198" s="3" t="s">
        <v>343</v>
      </c>
      <c r="B198" s="3">
        <v>45381</v>
      </c>
      <c r="C198">
        <v>2024</v>
      </c>
      <c r="D198" t="str">
        <f t="shared" si="9"/>
        <v>March</v>
      </c>
      <c r="E198" t="str">
        <f t="shared" si="10"/>
        <v>Saturday</v>
      </c>
      <c r="F198" s="4">
        <v>0.30486111111111114</v>
      </c>
      <c r="G198" s="4" t="str">
        <f t="shared" si="11"/>
        <v>7:00 AM – 8:00 AM</v>
      </c>
      <c r="H198">
        <v>225</v>
      </c>
      <c r="I198">
        <v>242</v>
      </c>
      <c r="J198">
        <v>17</v>
      </c>
      <c r="K198">
        <v>573</v>
      </c>
      <c r="L198">
        <v>1</v>
      </c>
      <c r="M198">
        <v>0</v>
      </c>
      <c r="N198">
        <v>5</v>
      </c>
      <c r="O198">
        <v>538</v>
      </c>
      <c r="P198">
        <v>28</v>
      </c>
    </row>
    <row r="199" spans="1:16" x14ac:dyDescent="0.3">
      <c r="A199" s="3" t="s">
        <v>477</v>
      </c>
      <c r="B199" s="3">
        <v>45249</v>
      </c>
      <c r="C199">
        <v>2023</v>
      </c>
      <c r="D199" t="str">
        <f t="shared" si="9"/>
        <v>November</v>
      </c>
      <c r="E199" t="str">
        <f t="shared" si="10"/>
        <v>Sunday</v>
      </c>
      <c r="F199" s="4">
        <v>0.10416666666666667</v>
      </c>
      <c r="G199" s="4" t="str">
        <f t="shared" si="11"/>
        <v>2:00 AM – 3:00 AM</v>
      </c>
      <c r="H199">
        <v>89</v>
      </c>
      <c r="I199">
        <v>27</v>
      </c>
      <c r="J199">
        <v>17</v>
      </c>
      <c r="K199">
        <v>163</v>
      </c>
      <c r="L199">
        <v>1</v>
      </c>
      <c r="M199">
        <v>0</v>
      </c>
      <c r="N199">
        <v>1</v>
      </c>
      <c r="O199">
        <v>162</v>
      </c>
      <c r="P199">
        <v>0</v>
      </c>
    </row>
    <row r="200" spans="1:16" x14ac:dyDescent="0.3">
      <c r="A200" s="3" t="s">
        <v>63</v>
      </c>
      <c r="B200" s="3">
        <v>45661</v>
      </c>
      <c r="C200">
        <v>2025</v>
      </c>
      <c r="D200" t="str">
        <f t="shared" si="9"/>
        <v>January</v>
      </c>
      <c r="E200" t="str">
        <f t="shared" si="10"/>
        <v>Saturday</v>
      </c>
      <c r="F200" s="4">
        <v>0.30416666666666664</v>
      </c>
      <c r="G200" s="4" t="str">
        <f t="shared" si="11"/>
        <v>7:00 AM – 8:00 AM</v>
      </c>
      <c r="H200">
        <v>505</v>
      </c>
      <c r="I200">
        <v>1230</v>
      </c>
      <c r="J200">
        <v>16</v>
      </c>
      <c r="K200">
        <v>503</v>
      </c>
      <c r="L200">
        <v>1</v>
      </c>
      <c r="M200">
        <v>8</v>
      </c>
      <c r="N200">
        <v>2</v>
      </c>
      <c r="O200">
        <v>495</v>
      </c>
      <c r="P200">
        <v>10</v>
      </c>
    </row>
    <row r="201" spans="1:16" x14ac:dyDescent="0.3">
      <c r="A201" s="3" t="s">
        <v>190</v>
      </c>
      <c r="B201" s="3">
        <v>45534</v>
      </c>
      <c r="C201">
        <v>2024</v>
      </c>
      <c r="D201" t="str">
        <f t="shared" si="9"/>
        <v>August</v>
      </c>
      <c r="E201" t="str">
        <f t="shared" si="10"/>
        <v>Friday</v>
      </c>
      <c r="F201" s="4">
        <v>0.27847222222222223</v>
      </c>
      <c r="G201" s="4" t="str">
        <f t="shared" si="11"/>
        <v>6:00 AM – 7:00 AM</v>
      </c>
      <c r="H201">
        <v>378</v>
      </c>
      <c r="I201">
        <v>587</v>
      </c>
      <c r="J201">
        <v>16</v>
      </c>
      <c r="K201">
        <v>153</v>
      </c>
      <c r="L201">
        <v>1</v>
      </c>
      <c r="M201">
        <v>6</v>
      </c>
      <c r="N201">
        <v>2</v>
      </c>
      <c r="O201">
        <v>157</v>
      </c>
      <c r="P201">
        <v>0</v>
      </c>
    </row>
    <row r="202" spans="1:16" x14ac:dyDescent="0.3">
      <c r="A202" s="3" t="s">
        <v>252</v>
      </c>
      <c r="B202" s="3">
        <v>45472</v>
      </c>
      <c r="C202">
        <v>2024</v>
      </c>
      <c r="D202" t="str">
        <f t="shared" si="9"/>
        <v>June</v>
      </c>
      <c r="E202" t="str">
        <f t="shared" si="10"/>
        <v>Saturday</v>
      </c>
      <c r="F202" s="4">
        <v>0.27500000000000002</v>
      </c>
      <c r="G202" s="4" t="str">
        <f t="shared" si="11"/>
        <v>6:00 AM – 7:00 AM</v>
      </c>
      <c r="H202">
        <v>316</v>
      </c>
      <c r="I202">
        <v>534</v>
      </c>
      <c r="J202">
        <v>16</v>
      </c>
      <c r="K202">
        <v>198</v>
      </c>
      <c r="L202">
        <v>1</v>
      </c>
      <c r="M202">
        <v>7</v>
      </c>
      <c r="N202">
        <v>0</v>
      </c>
      <c r="O202">
        <v>178</v>
      </c>
      <c r="P202">
        <v>9</v>
      </c>
    </row>
    <row r="203" spans="1:16" x14ac:dyDescent="0.3">
      <c r="A203" s="3" t="s">
        <v>330</v>
      </c>
      <c r="B203" s="3">
        <v>45394</v>
      </c>
      <c r="C203">
        <v>2024</v>
      </c>
      <c r="D203" t="str">
        <f t="shared" si="9"/>
        <v>April</v>
      </c>
      <c r="E203" t="str">
        <f t="shared" si="10"/>
        <v>Friday</v>
      </c>
      <c r="F203" s="4">
        <v>0.20694444444444443</v>
      </c>
      <c r="G203" s="4" t="str">
        <f t="shared" si="11"/>
        <v>4:00 AM – 5:00 AM</v>
      </c>
      <c r="H203">
        <v>238</v>
      </c>
      <c r="I203">
        <v>387</v>
      </c>
      <c r="J203">
        <v>16</v>
      </c>
      <c r="K203">
        <v>190</v>
      </c>
      <c r="L203">
        <v>1</v>
      </c>
      <c r="M203">
        <v>7</v>
      </c>
      <c r="N203">
        <v>4</v>
      </c>
      <c r="O203">
        <v>185</v>
      </c>
      <c r="P203">
        <v>7</v>
      </c>
    </row>
    <row r="204" spans="1:16" x14ac:dyDescent="0.3">
      <c r="A204" s="3" t="s">
        <v>108</v>
      </c>
      <c r="B204" s="3">
        <v>45616</v>
      </c>
      <c r="C204">
        <v>2024</v>
      </c>
      <c r="D204" t="str">
        <f t="shared" si="9"/>
        <v>November</v>
      </c>
      <c r="E204" t="str">
        <f t="shared" si="10"/>
        <v>Wednesday</v>
      </c>
      <c r="F204" s="4">
        <v>0.53194444444444444</v>
      </c>
      <c r="G204" s="4" t="str">
        <f t="shared" si="11"/>
        <v>12:00 PM – 1:00 PM</v>
      </c>
      <c r="H204">
        <v>460</v>
      </c>
      <c r="I204">
        <v>773</v>
      </c>
      <c r="J204">
        <v>15</v>
      </c>
      <c r="K204">
        <v>326</v>
      </c>
      <c r="L204">
        <v>1</v>
      </c>
      <c r="M204">
        <v>0</v>
      </c>
      <c r="N204">
        <v>0</v>
      </c>
      <c r="O204">
        <v>320</v>
      </c>
      <c r="P204">
        <v>1</v>
      </c>
    </row>
    <row r="205" spans="1:16" x14ac:dyDescent="0.3">
      <c r="A205" s="3" t="s">
        <v>142</v>
      </c>
      <c r="B205" s="3">
        <v>45582</v>
      </c>
      <c r="C205">
        <v>2024</v>
      </c>
      <c r="D205" t="str">
        <f t="shared" si="9"/>
        <v>October</v>
      </c>
      <c r="E205" t="str">
        <f t="shared" si="10"/>
        <v>Thursday</v>
      </c>
      <c r="F205" s="4">
        <v>0.62638888888888888</v>
      </c>
      <c r="G205" s="4" t="str">
        <f t="shared" si="11"/>
        <v>3:00 PM – 4:00 PM</v>
      </c>
      <c r="H205">
        <v>426</v>
      </c>
      <c r="I205">
        <v>748</v>
      </c>
      <c r="J205">
        <v>15</v>
      </c>
      <c r="K205">
        <v>257</v>
      </c>
      <c r="L205">
        <v>1</v>
      </c>
      <c r="M205">
        <v>3</v>
      </c>
      <c r="N205">
        <v>3</v>
      </c>
      <c r="O205">
        <v>258</v>
      </c>
      <c r="P205">
        <v>5</v>
      </c>
    </row>
    <row r="206" spans="1:16" x14ac:dyDescent="0.3">
      <c r="A206" s="3" t="s">
        <v>146</v>
      </c>
      <c r="B206" s="3">
        <v>45578</v>
      </c>
      <c r="C206">
        <v>2024</v>
      </c>
      <c r="D206" t="str">
        <f t="shared" si="9"/>
        <v>October</v>
      </c>
      <c r="E206" t="str">
        <f t="shared" si="10"/>
        <v>Sunday</v>
      </c>
      <c r="F206" s="4">
        <v>0.46736111111111112</v>
      </c>
      <c r="G206" s="4" t="str">
        <f t="shared" si="11"/>
        <v>11:00 AM – 12:00 PM</v>
      </c>
      <c r="H206">
        <v>422</v>
      </c>
      <c r="I206">
        <v>740</v>
      </c>
      <c r="J206">
        <v>15</v>
      </c>
      <c r="K206">
        <v>471</v>
      </c>
      <c r="L206">
        <v>1</v>
      </c>
      <c r="M206">
        <v>3</v>
      </c>
      <c r="N206">
        <v>3</v>
      </c>
      <c r="O206">
        <v>465</v>
      </c>
      <c r="P206">
        <v>0</v>
      </c>
    </row>
    <row r="207" spans="1:16" x14ac:dyDescent="0.3">
      <c r="A207" s="3" t="s">
        <v>159</v>
      </c>
      <c r="B207" s="3">
        <v>45565</v>
      </c>
      <c r="C207">
        <v>2024</v>
      </c>
      <c r="D207" t="str">
        <f t="shared" si="9"/>
        <v>September</v>
      </c>
      <c r="E207" t="str">
        <f t="shared" si="10"/>
        <v>Monday</v>
      </c>
      <c r="F207" s="4">
        <v>0.30416666666666664</v>
      </c>
      <c r="G207" s="4" t="str">
        <f t="shared" si="11"/>
        <v>7:00 AM – 8:00 AM</v>
      </c>
      <c r="H207">
        <v>409</v>
      </c>
      <c r="I207">
        <v>690</v>
      </c>
      <c r="J207">
        <v>15</v>
      </c>
      <c r="K207">
        <v>202</v>
      </c>
      <c r="L207">
        <v>2</v>
      </c>
      <c r="M207">
        <v>2</v>
      </c>
      <c r="N207">
        <v>5</v>
      </c>
      <c r="O207">
        <v>212</v>
      </c>
      <c r="P207">
        <v>2</v>
      </c>
    </row>
    <row r="208" spans="1:16" x14ac:dyDescent="0.3">
      <c r="A208" s="3" t="s">
        <v>427</v>
      </c>
      <c r="B208" s="3">
        <v>45298</v>
      </c>
      <c r="C208">
        <v>2024</v>
      </c>
      <c r="D208" t="str">
        <f t="shared" si="9"/>
        <v>January</v>
      </c>
      <c r="E208" t="str">
        <f t="shared" si="10"/>
        <v>Sunday</v>
      </c>
      <c r="F208" s="4">
        <v>0.20555555555555555</v>
      </c>
      <c r="G208" s="4" t="str">
        <f t="shared" si="11"/>
        <v>4:00 AM – 5:00 AM</v>
      </c>
      <c r="H208">
        <v>141</v>
      </c>
      <c r="I208">
        <v>64</v>
      </c>
      <c r="J208">
        <v>15</v>
      </c>
      <c r="K208">
        <v>175</v>
      </c>
      <c r="L208">
        <v>1</v>
      </c>
      <c r="M208">
        <v>0</v>
      </c>
      <c r="N208">
        <v>1</v>
      </c>
      <c r="O208">
        <v>174</v>
      </c>
      <c r="P208">
        <v>1</v>
      </c>
    </row>
    <row r="209" spans="1:16" x14ac:dyDescent="0.3">
      <c r="A209" s="3" t="s">
        <v>50</v>
      </c>
      <c r="B209" s="3">
        <v>45674</v>
      </c>
      <c r="C209">
        <v>2025</v>
      </c>
      <c r="D209" t="str">
        <f t="shared" si="9"/>
        <v>January</v>
      </c>
      <c r="E209" t="str">
        <f t="shared" si="10"/>
        <v>Friday</v>
      </c>
      <c r="F209" s="4">
        <v>0.56388888888888888</v>
      </c>
      <c r="G209" s="4" t="str">
        <f t="shared" si="11"/>
        <v>1:00 PM – 2:00 PM</v>
      </c>
      <c r="H209">
        <v>518</v>
      </c>
      <c r="I209">
        <v>1276</v>
      </c>
      <c r="J209">
        <v>14</v>
      </c>
      <c r="K209">
        <v>435</v>
      </c>
      <c r="L209">
        <v>1</v>
      </c>
      <c r="M209">
        <v>2</v>
      </c>
      <c r="N209">
        <v>7</v>
      </c>
      <c r="O209">
        <v>433</v>
      </c>
      <c r="P209">
        <v>2</v>
      </c>
    </row>
    <row r="210" spans="1:16" x14ac:dyDescent="0.3">
      <c r="A210" s="3" t="s">
        <v>183</v>
      </c>
      <c r="B210" s="3">
        <v>45541</v>
      </c>
      <c r="C210">
        <v>2024</v>
      </c>
      <c r="D210" t="str">
        <f t="shared" si="9"/>
        <v>September</v>
      </c>
      <c r="E210" t="str">
        <f t="shared" si="10"/>
        <v>Friday</v>
      </c>
      <c r="F210" s="4">
        <v>0.28888888888888886</v>
      </c>
      <c r="G210" s="4" t="str">
        <f t="shared" si="11"/>
        <v>6:00 AM – 7:00 AM</v>
      </c>
      <c r="H210">
        <v>385</v>
      </c>
      <c r="I210">
        <v>614</v>
      </c>
      <c r="J210">
        <v>14</v>
      </c>
      <c r="K210">
        <v>195</v>
      </c>
      <c r="L210">
        <v>1</v>
      </c>
      <c r="M210">
        <v>1</v>
      </c>
      <c r="N210">
        <v>2</v>
      </c>
      <c r="O210">
        <v>190</v>
      </c>
      <c r="P210">
        <v>4</v>
      </c>
    </row>
    <row r="211" spans="1:16" x14ac:dyDescent="0.3">
      <c r="A211" s="3" t="s">
        <v>297</v>
      </c>
      <c r="B211" s="3">
        <v>45427</v>
      </c>
      <c r="C211">
        <v>2024</v>
      </c>
      <c r="D211" t="str">
        <f t="shared" si="9"/>
        <v>May</v>
      </c>
      <c r="E211" t="str">
        <f t="shared" si="10"/>
        <v>Wednesday</v>
      </c>
      <c r="F211" s="4">
        <v>0.28680555555555554</v>
      </c>
      <c r="G211" s="4" t="str">
        <f t="shared" si="11"/>
        <v>6:00 AM – 7:00 AM</v>
      </c>
      <c r="H211">
        <v>271</v>
      </c>
      <c r="I211">
        <v>493</v>
      </c>
      <c r="J211">
        <v>14</v>
      </c>
      <c r="K211">
        <v>164</v>
      </c>
      <c r="L211">
        <v>8</v>
      </c>
      <c r="M211">
        <v>5</v>
      </c>
      <c r="N211">
        <v>4</v>
      </c>
      <c r="O211">
        <v>187</v>
      </c>
      <c r="P211">
        <v>1</v>
      </c>
    </row>
    <row r="212" spans="1:16" x14ac:dyDescent="0.3">
      <c r="A212" s="3" t="s">
        <v>306</v>
      </c>
      <c r="B212" s="3">
        <v>45418</v>
      </c>
      <c r="C212">
        <v>2024</v>
      </c>
      <c r="D212" t="str">
        <f t="shared" si="9"/>
        <v>May</v>
      </c>
      <c r="E212" t="str">
        <f t="shared" si="10"/>
        <v>Monday</v>
      </c>
      <c r="F212" s="4">
        <v>0.21527777777777779</v>
      </c>
      <c r="G212" s="4" t="str">
        <f t="shared" si="11"/>
        <v>5:00 AM – 6:00 AM</v>
      </c>
      <c r="H212">
        <v>262</v>
      </c>
      <c r="I212">
        <v>473</v>
      </c>
      <c r="J212">
        <v>14</v>
      </c>
      <c r="K212">
        <v>541</v>
      </c>
      <c r="L212">
        <v>2</v>
      </c>
      <c r="M212">
        <v>1</v>
      </c>
      <c r="N212">
        <v>1</v>
      </c>
      <c r="O212">
        <v>594</v>
      </c>
      <c r="P212">
        <v>-1</v>
      </c>
    </row>
    <row r="213" spans="1:16" x14ac:dyDescent="0.3">
      <c r="A213" s="3" t="s">
        <v>332</v>
      </c>
      <c r="B213" s="3">
        <v>45392</v>
      </c>
      <c r="C213">
        <v>2024</v>
      </c>
      <c r="D213" t="str">
        <f t="shared" si="9"/>
        <v>April</v>
      </c>
      <c r="E213" t="str">
        <f t="shared" si="10"/>
        <v>Wednesday</v>
      </c>
      <c r="F213" s="4">
        <v>0.27569444444444446</v>
      </c>
      <c r="G213" s="4" t="str">
        <f t="shared" si="11"/>
        <v>6:00 AM – 7:00 AM</v>
      </c>
      <c r="H213">
        <v>236</v>
      </c>
      <c r="I213">
        <v>369</v>
      </c>
      <c r="J213">
        <v>14</v>
      </c>
      <c r="K213">
        <v>252</v>
      </c>
      <c r="L213">
        <v>2</v>
      </c>
      <c r="M213">
        <v>4</v>
      </c>
      <c r="N213">
        <v>5</v>
      </c>
      <c r="O213">
        <v>259</v>
      </c>
      <c r="P213">
        <v>9</v>
      </c>
    </row>
    <row r="214" spans="1:16" x14ac:dyDescent="0.3">
      <c r="A214" s="3" t="s">
        <v>352</v>
      </c>
      <c r="B214" s="3">
        <v>45373</v>
      </c>
      <c r="C214">
        <v>2024</v>
      </c>
      <c r="D214" t="str">
        <f t="shared" si="9"/>
        <v>March</v>
      </c>
      <c r="E214" t="str">
        <f t="shared" si="10"/>
        <v>Friday</v>
      </c>
      <c r="F214" s="4">
        <v>0.22013888888888888</v>
      </c>
      <c r="G214" s="4" t="str">
        <f t="shared" si="11"/>
        <v>5:00 AM – 6:00 AM</v>
      </c>
      <c r="H214">
        <v>216</v>
      </c>
      <c r="I214">
        <v>155</v>
      </c>
      <c r="J214">
        <v>14</v>
      </c>
      <c r="K214">
        <v>292</v>
      </c>
      <c r="L214">
        <v>4</v>
      </c>
      <c r="M214">
        <v>0</v>
      </c>
      <c r="N214">
        <v>5</v>
      </c>
      <c r="O214">
        <v>307</v>
      </c>
      <c r="P214">
        <v>2</v>
      </c>
    </row>
    <row r="215" spans="1:16" x14ac:dyDescent="0.3">
      <c r="A215" s="3" t="s">
        <v>407</v>
      </c>
      <c r="B215" s="3">
        <v>45318</v>
      </c>
      <c r="C215">
        <v>2024</v>
      </c>
      <c r="D215" t="str">
        <f t="shared" si="9"/>
        <v>January</v>
      </c>
      <c r="E215" t="str">
        <f t="shared" si="10"/>
        <v>Saturday</v>
      </c>
      <c r="F215" s="4">
        <v>0.17986111111111111</v>
      </c>
      <c r="G215" s="4" t="str">
        <f t="shared" si="11"/>
        <v>4:00 AM – 5:00 AM</v>
      </c>
      <c r="H215">
        <v>161</v>
      </c>
      <c r="I215">
        <v>121</v>
      </c>
      <c r="J215">
        <v>14</v>
      </c>
      <c r="K215">
        <v>176</v>
      </c>
      <c r="L215">
        <v>1</v>
      </c>
      <c r="M215">
        <v>1</v>
      </c>
      <c r="N215">
        <v>1</v>
      </c>
      <c r="O215">
        <v>189</v>
      </c>
      <c r="P215">
        <v>1</v>
      </c>
    </row>
    <row r="216" spans="1:16" x14ac:dyDescent="0.3">
      <c r="A216" s="3" t="s">
        <v>411</v>
      </c>
      <c r="B216" s="3">
        <v>45314</v>
      </c>
      <c r="C216">
        <v>2024</v>
      </c>
      <c r="D216" t="str">
        <f t="shared" si="9"/>
        <v>January</v>
      </c>
      <c r="E216" t="str">
        <f t="shared" si="10"/>
        <v>Tuesday</v>
      </c>
      <c r="F216" s="4">
        <v>0.14097222222222222</v>
      </c>
      <c r="G216" s="4" t="str">
        <f t="shared" si="11"/>
        <v>3:00 AM – 4:00 AM</v>
      </c>
      <c r="H216">
        <v>157</v>
      </c>
      <c r="I216">
        <v>117</v>
      </c>
      <c r="J216">
        <v>14</v>
      </c>
      <c r="K216">
        <v>240</v>
      </c>
      <c r="L216">
        <v>1</v>
      </c>
      <c r="M216">
        <v>4</v>
      </c>
      <c r="N216">
        <v>3</v>
      </c>
      <c r="O216">
        <v>262</v>
      </c>
      <c r="P216">
        <v>2</v>
      </c>
    </row>
    <row r="217" spans="1:16" x14ac:dyDescent="0.3">
      <c r="A217" s="3" t="s">
        <v>35</v>
      </c>
      <c r="B217" s="3">
        <v>45689</v>
      </c>
      <c r="C217">
        <v>2025</v>
      </c>
      <c r="D217" t="str">
        <f t="shared" si="9"/>
        <v>February</v>
      </c>
      <c r="E217" t="str">
        <f t="shared" si="10"/>
        <v>Saturday</v>
      </c>
      <c r="F217" s="4">
        <v>0.55694444444444446</v>
      </c>
      <c r="G217" s="4" t="str">
        <f t="shared" si="11"/>
        <v>1:00 PM – 2:00 PM</v>
      </c>
      <c r="H217">
        <v>533</v>
      </c>
      <c r="I217">
        <v>1294</v>
      </c>
      <c r="J217">
        <v>13</v>
      </c>
      <c r="K217">
        <v>140</v>
      </c>
      <c r="L217">
        <v>2</v>
      </c>
      <c r="M217">
        <v>3</v>
      </c>
      <c r="N217">
        <v>8</v>
      </c>
      <c r="O217">
        <v>139</v>
      </c>
      <c r="P217">
        <v>-1</v>
      </c>
    </row>
    <row r="218" spans="1:16" x14ac:dyDescent="0.3">
      <c r="A218" s="3" t="s">
        <v>112</v>
      </c>
      <c r="B218" s="3">
        <v>45612</v>
      </c>
      <c r="C218">
        <v>2024</v>
      </c>
      <c r="D218" t="str">
        <f t="shared" si="9"/>
        <v>November</v>
      </c>
      <c r="E218" t="str">
        <f t="shared" si="10"/>
        <v>Saturday</v>
      </c>
      <c r="F218" s="4">
        <v>0.47708333333333336</v>
      </c>
      <c r="G218" s="4" t="str">
        <f t="shared" si="11"/>
        <v>11:00 AM – 12:00 PM</v>
      </c>
      <c r="H218">
        <v>456</v>
      </c>
      <c r="I218">
        <v>778</v>
      </c>
      <c r="J218">
        <v>13</v>
      </c>
      <c r="K218">
        <v>234</v>
      </c>
      <c r="L218">
        <v>1</v>
      </c>
      <c r="M218">
        <v>0</v>
      </c>
      <c r="N218">
        <v>1</v>
      </c>
      <c r="O218">
        <v>241</v>
      </c>
      <c r="P218">
        <v>-2</v>
      </c>
    </row>
    <row r="219" spans="1:16" x14ac:dyDescent="0.3">
      <c r="A219" s="3" t="s">
        <v>117</v>
      </c>
      <c r="B219" s="3">
        <v>45607</v>
      </c>
      <c r="C219">
        <v>2024</v>
      </c>
      <c r="D219" t="str">
        <f t="shared" si="9"/>
        <v>November</v>
      </c>
      <c r="E219" t="str">
        <f t="shared" si="10"/>
        <v>Monday</v>
      </c>
      <c r="F219" s="4">
        <v>0.54374999999999996</v>
      </c>
      <c r="G219" s="4" t="str">
        <f t="shared" si="11"/>
        <v>1:00 PM – 2:00 PM</v>
      </c>
      <c r="H219">
        <v>451</v>
      </c>
      <c r="I219">
        <v>775</v>
      </c>
      <c r="J219">
        <v>13</v>
      </c>
      <c r="K219">
        <v>286</v>
      </c>
      <c r="L219">
        <v>1</v>
      </c>
      <c r="M219">
        <v>4</v>
      </c>
      <c r="N219">
        <v>0</v>
      </c>
      <c r="O219">
        <v>292</v>
      </c>
      <c r="P219">
        <v>4</v>
      </c>
    </row>
    <row r="220" spans="1:16" x14ac:dyDescent="0.3">
      <c r="A220" s="3" t="s">
        <v>130</v>
      </c>
      <c r="B220" s="3">
        <v>45594</v>
      </c>
      <c r="C220">
        <v>2024</v>
      </c>
      <c r="D220" t="str">
        <f t="shared" si="9"/>
        <v>October</v>
      </c>
      <c r="E220" t="str">
        <f t="shared" si="10"/>
        <v>Tuesday</v>
      </c>
      <c r="F220" s="4">
        <v>0.53055555555555556</v>
      </c>
      <c r="G220" s="4" t="str">
        <f t="shared" si="11"/>
        <v>12:00 PM – 1:00 PM</v>
      </c>
      <c r="H220">
        <v>438</v>
      </c>
      <c r="I220">
        <v>761</v>
      </c>
      <c r="J220">
        <v>13</v>
      </c>
      <c r="K220">
        <v>321</v>
      </c>
      <c r="L220">
        <v>1</v>
      </c>
      <c r="M220">
        <v>10</v>
      </c>
      <c r="N220">
        <v>4</v>
      </c>
      <c r="O220">
        <v>325</v>
      </c>
      <c r="P220">
        <v>0</v>
      </c>
    </row>
    <row r="221" spans="1:16" x14ac:dyDescent="0.3">
      <c r="A221" s="3" t="s">
        <v>138</v>
      </c>
      <c r="B221" s="3">
        <v>45586</v>
      </c>
      <c r="C221">
        <v>2024</v>
      </c>
      <c r="D221" t="str">
        <f t="shared" si="9"/>
        <v>October</v>
      </c>
      <c r="E221" t="str">
        <f t="shared" si="10"/>
        <v>Monday</v>
      </c>
      <c r="F221" s="4">
        <v>0.47430555555555554</v>
      </c>
      <c r="G221" s="4" t="str">
        <f t="shared" si="11"/>
        <v>11:00 AM – 12:00 PM</v>
      </c>
      <c r="H221">
        <v>430</v>
      </c>
      <c r="I221">
        <v>754</v>
      </c>
      <c r="J221">
        <v>13</v>
      </c>
      <c r="K221">
        <v>216</v>
      </c>
      <c r="L221">
        <v>1</v>
      </c>
      <c r="M221">
        <v>1</v>
      </c>
      <c r="N221">
        <v>2</v>
      </c>
      <c r="O221">
        <v>214</v>
      </c>
      <c r="P221">
        <v>1</v>
      </c>
    </row>
    <row r="222" spans="1:16" x14ac:dyDescent="0.3">
      <c r="A222" s="3" t="s">
        <v>163</v>
      </c>
      <c r="B222" s="3">
        <v>45561</v>
      </c>
      <c r="C222">
        <v>2024</v>
      </c>
      <c r="D222" t="str">
        <f t="shared" si="9"/>
        <v>September</v>
      </c>
      <c r="E222" t="str">
        <f t="shared" si="10"/>
        <v>Thursday</v>
      </c>
      <c r="F222" s="4">
        <v>0.30555555555555558</v>
      </c>
      <c r="G222" s="4" t="str">
        <f t="shared" si="11"/>
        <v>7:00 AM – 8:00 AM</v>
      </c>
      <c r="H222">
        <v>405</v>
      </c>
      <c r="I222">
        <v>682</v>
      </c>
      <c r="J222">
        <v>13</v>
      </c>
      <c r="K222">
        <v>336</v>
      </c>
      <c r="L222">
        <v>1</v>
      </c>
      <c r="M222">
        <v>2</v>
      </c>
      <c r="N222">
        <v>3</v>
      </c>
      <c r="O222">
        <v>335</v>
      </c>
      <c r="P222">
        <v>10</v>
      </c>
    </row>
    <row r="223" spans="1:16" x14ac:dyDescent="0.3">
      <c r="A223" s="3" t="s">
        <v>188</v>
      </c>
      <c r="B223" s="3">
        <v>45537</v>
      </c>
      <c r="C223">
        <v>2024</v>
      </c>
      <c r="D223" t="str">
        <f t="shared" si="9"/>
        <v>September</v>
      </c>
      <c r="E223" t="str">
        <f t="shared" si="10"/>
        <v>Monday</v>
      </c>
      <c r="F223" s="4">
        <v>0.26597222222222222</v>
      </c>
      <c r="G223" s="4" t="str">
        <f t="shared" si="11"/>
        <v>6:00 AM – 7:00 AM</v>
      </c>
      <c r="H223">
        <v>380</v>
      </c>
      <c r="I223">
        <v>597</v>
      </c>
      <c r="J223">
        <v>13</v>
      </c>
      <c r="K223">
        <v>187</v>
      </c>
      <c r="L223">
        <v>1</v>
      </c>
      <c r="M223">
        <v>5</v>
      </c>
      <c r="N223">
        <v>7</v>
      </c>
      <c r="O223">
        <v>198</v>
      </c>
      <c r="P223">
        <v>5</v>
      </c>
    </row>
    <row r="224" spans="1:16" x14ac:dyDescent="0.3">
      <c r="A224" s="3" t="s">
        <v>207</v>
      </c>
      <c r="B224" s="3">
        <v>45517</v>
      </c>
      <c r="C224">
        <v>2024</v>
      </c>
      <c r="D224" t="str">
        <f t="shared" si="9"/>
        <v>August</v>
      </c>
      <c r="E224" t="str">
        <f t="shared" si="10"/>
        <v>Tuesday</v>
      </c>
      <c r="F224" s="4">
        <v>0.28263888888888888</v>
      </c>
      <c r="G224" s="4" t="str">
        <f t="shared" si="11"/>
        <v>6:00 AM – 7:00 AM</v>
      </c>
      <c r="H224">
        <v>361</v>
      </c>
      <c r="I224">
        <v>568</v>
      </c>
      <c r="J224">
        <v>13</v>
      </c>
      <c r="K224">
        <v>81</v>
      </c>
      <c r="L224">
        <v>1</v>
      </c>
      <c r="M224">
        <v>1</v>
      </c>
      <c r="N224">
        <v>1</v>
      </c>
      <c r="O224">
        <v>96</v>
      </c>
      <c r="P224">
        <v>0</v>
      </c>
    </row>
    <row r="225" spans="1:16" x14ac:dyDescent="0.3">
      <c r="A225" s="3" t="s">
        <v>211</v>
      </c>
      <c r="B225" s="3">
        <v>45513</v>
      </c>
      <c r="C225">
        <v>2024</v>
      </c>
      <c r="D225" t="str">
        <f t="shared" si="9"/>
        <v>August</v>
      </c>
      <c r="E225" t="str">
        <f t="shared" si="10"/>
        <v>Friday</v>
      </c>
      <c r="F225" s="4">
        <v>0.29444444444444445</v>
      </c>
      <c r="G225" s="4" t="str">
        <f t="shared" si="11"/>
        <v>7:00 AM – 8:00 AM</v>
      </c>
      <c r="H225">
        <v>357</v>
      </c>
      <c r="I225">
        <v>565</v>
      </c>
      <c r="J225">
        <v>13</v>
      </c>
      <c r="K225">
        <v>83</v>
      </c>
      <c r="L225">
        <v>4</v>
      </c>
      <c r="M225">
        <v>1</v>
      </c>
      <c r="N225">
        <v>6</v>
      </c>
      <c r="O225">
        <v>96</v>
      </c>
      <c r="P225">
        <v>1</v>
      </c>
    </row>
    <row r="226" spans="1:16" x14ac:dyDescent="0.3">
      <c r="A226" s="3" t="s">
        <v>231</v>
      </c>
      <c r="B226" s="3">
        <v>45493</v>
      </c>
      <c r="C226">
        <v>2024</v>
      </c>
      <c r="D226" t="str">
        <f t="shared" si="9"/>
        <v>July</v>
      </c>
      <c r="E226" t="str">
        <f t="shared" si="10"/>
        <v>Saturday</v>
      </c>
      <c r="F226" s="4">
        <v>0.33124999999999999</v>
      </c>
      <c r="G226" s="4" t="str">
        <f t="shared" si="11"/>
        <v>7:00 AM – 8:00 AM</v>
      </c>
      <c r="H226">
        <v>337</v>
      </c>
      <c r="I226">
        <v>569</v>
      </c>
      <c r="J226">
        <v>13</v>
      </c>
      <c r="K226">
        <v>339</v>
      </c>
      <c r="L226">
        <v>3</v>
      </c>
      <c r="M226">
        <v>0</v>
      </c>
      <c r="N226">
        <v>4</v>
      </c>
      <c r="O226">
        <v>335</v>
      </c>
      <c r="P226">
        <v>0</v>
      </c>
    </row>
    <row r="227" spans="1:16" x14ac:dyDescent="0.3">
      <c r="A227" s="3" t="s">
        <v>256</v>
      </c>
      <c r="B227" s="3">
        <v>45468</v>
      </c>
      <c r="C227">
        <v>2024</v>
      </c>
      <c r="D227" t="str">
        <f t="shared" si="9"/>
        <v>June</v>
      </c>
      <c r="E227" t="str">
        <f t="shared" si="10"/>
        <v>Tuesday</v>
      </c>
      <c r="F227" s="4">
        <v>0.28263888888888888</v>
      </c>
      <c r="G227" s="4" t="str">
        <f t="shared" si="11"/>
        <v>6:00 AM – 7:00 AM</v>
      </c>
      <c r="H227">
        <v>312</v>
      </c>
      <c r="I227">
        <v>523</v>
      </c>
      <c r="J227">
        <v>13</v>
      </c>
      <c r="K227">
        <v>117</v>
      </c>
      <c r="L227">
        <v>1</v>
      </c>
      <c r="M227">
        <v>0</v>
      </c>
      <c r="N227">
        <v>2</v>
      </c>
      <c r="O227">
        <v>131</v>
      </c>
      <c r="P227">
        <v>-1</v>
      </c>
    </row>
    <row r="228" spans="1:16" x14ac:dyDescent="0.3">
      <c r="A228" s="3" t="s">
        <v>303</v>
      </c>
      <c r="B228" s="3">
        <v>45421</v>
      </c>
      <c r="C228">
        <v>2024</v>
      </c>
      <c r="D228" t="str">
        <f t="shared" si="9"/>
        <v>May</v>
      </c>
      <c r="E228" t="str">
        <f t="shared" si="10"/>
        <v>Thursday</v>
      </c>
      <c r="F228" s="4">
        <v>0.24583333333333332</v>
      </c>
      <c r="G228" s="4" t="str">
        <f t="shared" si="11"/>
        <v>5:00 AM – 6:00 AM</v>
      </c>
      <c r="H228">
        <v>265</v>
      </c>
      <c r="I228">
        <v>482</v>
      </c>
      <c r="J228">
        <v>13</v>
      </c>
      <c r="K228">
        <v>103</v>
      </c>
      <c r="L228">
        <v>1</v>
      </c>
      <c r="M228">
        <v>0</v>
      </c>
      <c r="N228">
        <v>0</v>
      </c>
      <c r="O228">
        <v>108</v>
      </c>
      <c r="P228">
        <v>1</v>
      </c>
    </row>
    <row r="229" spans="1:16" x14ac:dyDescent="0.3">
      <c r="A229" s="3" t="s">
        <v>341</v>
      </c>
      <c r="B229" s="3">
        <v>45383</v>
      </c>
      <c r="C229">
        <v>2024</v>
      </c>
      <c r="D229" t="str">
        <f t="shared" si="9"/>
        <v>April</v>
      </c>
      <c r="E229" t="str">
        <f t="shared" si="10"/>
        <v>Monday</v>
      </c>
      <c r="F229" s="4">
        <v>0.24791666666666667</v>
      </c>
      <c r="G229" s="4" t="str">
        <f t="shared" si="11"/>
        <v>5:00 AM – 6:00 AM</v>
      </c>
      <c r="H229">
        <v>227</v>
      </c>
      <c r="I229">
        <v>268</v>
      </c>
      <c r="J229">
        <v>13</v>
      </c>
      <c r="K229">
        <v>272</v>
      </c>
      <c r="L229">
        <v>1</v>
      </c>
      <c r="M229">
        <v>1</v>
      </c>
      <c r="N229">
        <v>2</v>
      </c>
      <c r="O229">
        <v>274</v>
      </c>
      <c r="P229">
        <v>11</v>
      </c>
    </row>
    <row r="230" spans="1:16" x14ac:dyDescent="0.3">
      <c r="A230" s="3" t="s">
        <v>33</v>
      </c>
      <c r="B230" s="3">
        <v>45691</v>
      </c>
      <c r="C230">
        <v>2025</v>
      </c>
      <c r="D230" t="str">
        <f t="shared" si="9"/>
        <v>February</v>
      </c>
      <c r="E230" t="str">
        <f t="shared" si="10"/>
        <v>Monday</v>
      </c>
      <c r="F230" s="4">
        <v>0.60277777777777775</v>
      </c>
      <c r="G230" s="4" t="str">
        <f t="shared" si="11"/>
        <v>2:00 PM – 3:00 PM</v>
      </c>
      <c r="H230">
        <v>535</v>
      </c>
      <c r="I230">
        <v>1294</v>
      </c>
      <c r="J230">
        <v>12</v>
      </c>
      <c r="K230">
        <v>181</v>
      </c>
      <c r="L230">
        <v>3</v>
      </c>
      <c r="M230">
        <v>3</v>
      </c>
      <c r="N230">
        <v>3</v>
      </c>
      <c r="O230">
        <v>180</v>
      </c>
      <c r="P230">
        <v>-1</v>
      </c>
    </row>
    <row r="231" spans="1:16" x14ac:dyDescent="0.3">
      <c r="A231" s="3" t="s">
        <v>55</v>
      </c>
      <c r="B231" s="3">
        <v>45669</v>
      </c>
      <c r="C231">
        <v>2025</v>
      </c>
      <c r="D231" t="str">
        <f t="shared" si="9"/>
        <v>January</v>
      </c>
      <c r="E231" t="str">
        <f t="shared" si="10"/>
        <v>Sunday</v>
      </c>
      <c r="F231" s="4">
        <v>0.59166666666666667</v>
      </c>
      <c r="G231" s="4" t="str">
        <f t="shared" si="11"/>
        <v>2:00 PM – 3:00 PM</v>
      </c>
      <c r="H231">
        <v>513</v>
      </c>
      <c r="I231">
        <v>1277</v>
      </c>
      <c r="J231">
        <v>12</v>
      </c>
      <c r="K231">
        <v>160</v>
      </c>
      <c r="L231">
        <v>1</v>
      </c>
      <c r="M231">
        <v>2</v>
      </c>
      <c r="N231">
        <v>1</v>
      </c>
      <c r="O231">
        <v>169</v>
      </c>
      <c r="P231">
        <v>1</v>
      </c>
    </row>
    <row r="232" spans="1:16" x14ac:dyDescent="0.3">
      <c r="A232" s="3" t="s">
        <v>70</v>
      </c>
      <c r="B232" s="3">
        <v>45654</v>
      </c>
      <c r="C232">
        <v>2024</v>
      </c>
      <c r="D232" t="str">
        <f t="shared" si="9"/>
        <v>December</v>
      </c>
      <c r="E232" t="str">
        <f t="shared" si="10"/>
        <v>Saturday</v>
      </c>
      <c r="F232" s="4">
        <v>0.55763888888888891</v>
      </c>
      <c r="G232" s="4" t="str">
        <f t="shared" si="11"/>
        <v>1:00 PM – 2:00 PM</v>
      </c>
      <c r="H232">
        <v>498</v>
      </c>
      <c r="I232">
        <v>820</v>
      </c>
      <c r="J232">
        <v>12</v>
      </c>
      <c r="K232">
        <v>1512</v>
      </c>
      <c r="L232">
        <v>1</v>
      </c>
      <c r="M232">
        <v>2</v>
      </c>
      <c r="N232">
        <v>13</v>
      </c>
      <c r="O232">
        <v>1535</v>
      </c>
      <c r="P232">
        <v>6</v>
      </c>
    </row>
    <row r="233" spans="1:16" x14ac:dyDescent="0.3">
      <c r="A233" s="3" t="s">
        <v>73</v>
      </c>
      <c r="B233" s="3">
        <v>45651</v>
      </c>
      <c r="C233">
        <v>2024</v>
      </c>
      <c r="D233" t="str">
        <f t="shared" si="9"/>
        <v>December</v>
      </c>
      <c r="E233" t="str">
        <f t="shared" si="10"/>
        <v>Wednesday</v>
      </c>
      <c r="F233" s="4">
        <v>0.56319444444444444</v>
      </c>
      <c r="G233" s="4" t="str">
        <f t="shared" si="11"/>
        <v>1:00 PM – 2:00 PM</v>
      </c>
      <c r="H233">
        <v>495</v>
      </c>
      <c r="I233">
        <v>793</v>
      </c>
      <c r="J233">
        <v>12</v>
      </c>
      <c r="K233">
        <v>1044</v>
      </c>
      <c r="L233">
        <v>1</v>
      </c>
      <c r="M233">
        <v>2</v>
      </c>
      <c r="N233">
        <v>3</v>
      </c>
      <c r="O233">
        <v>1048</v>
      </c>
      <c r="P233">
        <v>0</v>
      </c>
    </row>
    <row r="234" spans="1:16" x14ac:dyDescent="0.3">
      <c r="A234" s="3" t="s">
        <v>81</v>
      </c>
      <c r="B234" s="3">
        <v>45643</v>
      </c>
      <c r="C234">
        <v>2024</v>
      </c>
      <c r="D234" t="str">
        <f t="shared" si="9"/>
        <v>December</v>
      </c>
      <c r="E234" t="str">
        <f t="shared" si="10"/>
        <v>Tuesday</v>
      </c>
      <c r="F234" s="4">
        <v>0.52152777777777781</v>
      </c>
      <c r="G234" s="4" t="str">
        <f t="shared" si="11"/>
        <v>12:00 PM – 1:00 PM</v>
      </c>
      <c r="H234">
        <v>487</v>
      </c>
      <c r="I234">
        <v>791</v>
      </c>
      <c r="J234">
        <v>12</v>
      </c>
      <c r="K234">
        <v>740</v>
      </c>
      <c r="L234">
        <v>1</v>
      </c>
      <c r="M234">
        <v>2</v>
      </c>
      <c r="N234">
        <v>3</v>
      </c>
      <c r="O234">
        <v>720</v>
      </c>
      <c r="P234">
        <v>1</v>
      </c>
    </row>
    <row r="235" spans="1:16" x14ac:dyDescent="0.3">
      <c r="A235" s="3" t="s">
        <v>131</v>
      </c>
      <c r="B235" s="3">
        <v>45593</v>
      </c>
      <c r="C235">
        <v>2024</v>
      </c>
      <c r="D235" t="str">
        <f t="shared" si="9"/>
        <v>October</v>
      </c>
      <c r="E235" t="str">
        <f t="shared" si="10"/>
        <v>Monday</v>
      </c>
      <c r="F235" s="4">
        <v>0.47013888888888888</v>
      </c>
      <c r="G235" s="4" t="str">
        <f t="shared" si="11"/>
        <v>11:00 AM – 12:00 PM</v>
      </c>
      <c r="H235">
        <v>437</v>
      </c>
      <c r="I235">
        <v>761</v>
      </c>
      <c r="J235">
        <v>12</v>
      </c>
      <c r="K235">
        <v>368</v>
      </c>
      <c r="L235">
        <v>1</v>
      </c>
      <c r="M235">
        <v>0</v>
      </c>
      <c r="N235">
        <v>3</v>
      </c>
      <c r="O235">
        <v>366</v>
      </c>
      <c r="P235">
        <v>0</v>
      </c>
    </row>
    <row r="236" spans="1:16" x14ac:dyDescent="0.3">
      <c r="A236" s="3" t="s">
        <v>241</v>
      </c>
      <c r="B236" s="3">
        <v>45483</v>
      </c>
      <c r="C236">
        <v>2024</v>
      </c>
      <c r="D236" t="str">
        <f t="shared" si="9"/>
        <v>July</v>
      </c>
      <c r="E236" t="str">
        <f t="shared" si="10"/>
        <v>Wednesday</v>
      </c>
      <c r="F236" s="4">
        <v>0.28402777777777777</v>
      </c>
      <c r="G236" s="4" t="str">
        <f t="shared" si="11"/>
        <v>6:00 AM – 7:00 AM</v>
      </c>
      <c r="H236">
        <v>327</v>
      </c>
      <c r="I236">
        <v>572</v>
      </c>
      <c r="J236">
        <v>12</v>
      </c>
      <c r="K236">
        <v>90</v>
      </c>
      <c r="L236">
        <v>1</v>
      </c>
      <c r="M236">
        <v>4</v>
      </c>
      <c r="N236">
        <v>5</v>
      </c>
      <c r="O236">
        <v>91</v>
      </c>
      <c r="P236">
        <v>1</v>
      </c>
    </row>
    <row r="237" spans="1:16" x14ac:dyDescent="0.3">
      <c r="A237" s="3" t="s">
        <v>253</v>
      </c>
      <c r="B237" s="3">
        <v>45471</v>
      </c>
      <c r="C237">
        <v>2024</v>
      </c>
      <c r="D237" t="str">
        <f t="shared" si="9"/>
        <v>June</v>
      </c>
      <c r="E237" t="str">
        <f t="shared" si="10"/>
        <v>Friday</v>
      </c>
      <c r="F237" s="4">
        <v>0.29652777777777778</v>
      </c>
      <c r="G237" s="4" t="str">
        <f t="shared" si="11"/>
        <v>7:00 AM – 8:00 AM</v>
      </c>
      <c r="H237">
        <v>315</v>
      </c>
      <c r="I237">
        <v>525</v>
      </c>
      <c r="J237">
        <v>12</v>
      </c>
      <c r="K237">
        <v>226</v>
      </c>
      <c r="L237">
        <v>1</v>
      </c>
      <c r="M237">
        <v>1</v>
      </c>
      <c r="N237">
        <v>0</v>
      </c>
      <c r="O237">
        <v>246</v>
      </c>
      <c r="P237">
        <v>3</v>
      </c>
    </row>
    <row r="238" spans="1:16" x14ac:dyDescent="0.3">
      <c r="A238" s="3" t="s">
        <v>305</v>
      </c>
      <c r="B238" s="3">
        <v>45419</v>
      </c>
      <c r="C238">
        <v>2024</v>
      </c>
      <c r="D238" t="str">
        <f t="shared" si="9"/>
        <v>May</v>
      </c>
      <c r="E238" t="str">
        <f t="shared" si="10"/>
        <v>Tuesday</v>
      </c>
      <c r="F238" s="4">
        <v>0.28819444444444442</v>
      </c>
      <c r="G238" s="4" t="str">
        <f t="shared" si="11"/>
        <v>6:00 AM – 7:00 AM</v>
      </c>
      <c r="H238">
        <v>263</v>
      </c>
      <c r="I238">
        <v>476</v>
      </c>
      <c r="J238">
        <v>12</v>
      </c>
      <c r="K238">
        <v>152</v>
      </c>
      <c r="L238">
        <v>1</v>
      </c>
      <c r="M238">
        <v>1</v>
      </c>
      <c r="N238">
        <v>3</v>
      </c>
      <c r="O238">
        <v>171</v>
      </c>
      <c r="P238">
        <v>3</v>
      </c>
    </row>
    <row r="239" spans="1:16" x14ac:dyDescent="0.3">
      <c r="A239" s="3" t="s">
        <v>317</v>
      </c>
      <c r="B239" s="3">
        <v>45407</v>
      </c>
      <c r="C239">
        <v>2024</v>
      </c>
      <c r="D239" t="str">
        <f t="shared" si="9"/>
        <v>April</v>
      </c>
      <c r="E239" t="str">
        <f t="shared" si="10"/>
        <v>Thursday</v>
      </c>
      <c r="F239" s="4">
        <v>0.21458333333333332</v>
      </c>
      <c r="G239" s="4" t="str">
        <f t="shared" si="11"/>
        <v>5:00 AM – 6:00 AM</v>
      </c>
      <c r="H239">
        <v>251</v>
      </c>
      <c r="I239">
        <v>453</v>
      </c>
      <c r="J239">
        <v>12</v>
      </c>
      <c r="K239">
        <v>122</v>
      </c>
      <c r="L239">
        <v>1</v>
      </c>
      <c r="M239">
        <v>14</v>
      </c>
      <c r="N239">
        <v>0</v>
      </c>
      <c r="O239">
        <v>133</v>
      </c>
      <c r="P239">
        <v>1</v>
      </c>
    </row>
    <row r="240" spans="1:16" x14ac:dyDescent="0.3">
      <c r="A240" s="3" t="s">
        <v>413</v>
      </c>
      <c r="B240" s="3">
        <v>45312</v>
      </c>
      <c r="C240">
        <v>2024</v>
      </c>
      <c r="D240" t="str">
        <f t="shared" si="9"/>
        <v>January</v>
      </c>
      <c r="E240" t="str">
        <f t="shared" si="10"/>
        <v>Sunday</v>
      </c>
      <c r="F240" s="4">
        <v>0.19652777777777777</v>
      </c>
      <c r="G240" s="4" t="str">
        <f t="shared" si="11"/>
        <v>4:00 AM – 5:00 AM</v>
      </c>
      <c r="H240">
        <v>155</v>
      </c>
      <c r="I240">
        <v>115</v>
      </c>
      <c r="J240">
        <v>12</v>
      </c>
      <c r="K240">
        <v>186</v>
      </c>
      <c r="L240">
        <v>1</v>
      </c>
      <c r="M240">
        <v>1</v>
      </c>
      <c r="N240">
        <v>2</v>
      </c>
      <c r="O240">
        <v>183</v>
      </c>
      <c r="P240">
        <v>0</v>
      </c>
    </row>
    <row r="241" spans="1:16" x14ac:dyDescent="0.3">
      <c r="A241" s="3" t="s">
        <v>446</v>
      </c>
      <c r="B241" s="3">
        <v>45280</v>
      </c>
      <c r="C241">
        <v>2023</v>
      </c>
      <c r="D241" t="str">
        <f t="shared" si="9"/>
        <v>December</v>
      </c>
      <c r="E241" t="str">
        <f t="shared" si="10"/>
        <v>Wednesday</v>
      </c>
      <c r="F241" s="4">
        <v>0.12916666666666668</v>
      </c>
      <c r="G241" s="4" t="str">
        <f t="shared" si="11"/>
        <v>3:00 AM – 4:00 AM</v>
      </c>
      <c r="H241">
        <v>121</v>
      </c>
      <c r="I241">
        <v>30</v>
      </c>
      <c r="J241">
        <v>12</v>
      </c>
      <c r="K241">
        <v>530</v>
      </c>
      <c r="L241">
        <v>2</v>
      </c>
      <c r="M241">
        <v>4</v>
      </c>
      <c r="N241">
        <v>3</v>
      </c>
      <c r="O241">
        <v>522</v>
      </c>
      <c r="P241">
        <v>-1</v>
      </c>
    </row>
    <row r="242" spans="1:16" x14ac:dyDescent="0.3">
      <c r="A242" s="3" t="s">
        <v>100</v>
      </c>
      <c r="B242" s="3">
        <v>45624</v>
      </c>
      <c r="C242">
        <v>2024</v>
      </c>
      <c r="D242" t="str">
        <f t="shared" si="9"/>
        <v>November</v>
      </c>
      <c r="E242" t="str">
        <f t="shared" si="10"/>
        <v>Thursday</v>
      </c>
      <c r="F242" s="4">
        <v>0.55555555555555558</v>
      </c>
      <c r="G242" s="4" t="str">
        <f t="shared" si="11"/>
        <v>1:00 PM – 2:00 PM</v>
      </c>
      <c r="H242">
        <v>468</v>
      </c>
      <c r="I242">
        <v>780</v>
      </c>
      <c r="J242">
        <v>11</v>
      </c>
      <c r="K242">
        <v>288</v>
      </c>
      <c r="L242">
        <v>1</v>
      </c>
      <c r="M242">
        <v>11</v>
      </c>
      <c r="N242">
        <v>3</v>
      </c>
      <c r="O242">
        <v>283</v>
      </c>
      <c r="P242">
        <v>1</v>
      </c>
    </row>
    <row r="243" spans="1:16" x14ac:dyDescent="0.3">
      <c r="A243" s="3" t="s">
        <v>109</v>
      </c>
      <c r="B243" s="3">
        <v>45615</v>
      </c>
      <c r="C243">
        <v>2024</v>
      </c>
      <c r="D243" t="str">
        <f t="shared" si="9"/>
        <v>November</v>
      </c>
      <c r="E243" t="str">
        <f t="shared" si="10"/>
        <v>Tuesday</v>
      </c>
      <c r="F243" s="4">
        <v>0.30833333333333335</v>
      </c>
      <c r="G243" s="4" t="str">
        <f t="shared" si="11"/>
        <v>7:00 AM – 8:00 AM</v>
      </c>
      <c r="H243">
        <v>459</v>
      </c>
      <c r="I243">
        <v>772</v>
      </c>
      <c r="J243">
        <v>11</v>
      </c>
      <c r="K243">
        <v>177</v>
      </c>
      <c r="L243">
        <v>2</v>
      </c>
      <c r="M243">
        <v>2</v>
      </c>
      <c r="N243">
        <v>3</v>
      </c>
      <c r="O243">
        <v>191</v>
      </c>
      <c r="P243">
        <v>-2</v>
      </c>
    </row>
    <row r="244" spans="1:16" x14ac:dyDescent="0.3">
      <c r="A244" s="3" t="s">
        <v>135</v>
      </c>
      <c r="B244" s="3">
        <v>45589</v>
      </c>
      <c r="C244">
        <v>2024</v>
      </c>
      <c r="D244" t="str">
        <f t="shared" si="9"/>
        <v>October</v>
      </c>
      <c r="E244" t="str">
        <f t="shared" si="10"/>
        <v>Thursday</v>
      </c>
      <c r="F244" s="4">
        <v>0.52916666666666667</v>
      </c>
      <c r="G244" s="4" t="str">
        <f t="shared" si="11"/>
        <v>12:00 PM – 1:00 PM</v>
      </c>
      <c r="H244">
        <v>433</v>
      </c>
      <c r="I244">
        <v>757</v>
      </c>
      <c r="J244">
        <v>11</v>
      </c>
      <c r="K244">
        <v>142</v>
      </c>
      <c r="L244">
        <v>2</v>
      </c>
      <c r="M244">
        <v>1</v>
      </c>
      <c r="N244">
        <v>2</v>
      </c>
      <c r="O244">
        <v>143</v>
      </c>
      <c r="P244">
        <v>1</v>
      </c>
    </row>
    <row r="245" spans="1:16" x14ac:dyDescent="0.3">
      <c r="A245" s="3" t="s">
        <v>141</v>
      </c>
      <c r="B245" s="3">
        <v>45583</v>
      </c>
      <c r="C245">
        <v>2024</v>
      </c>
      <c r="D245" t="str">
        <f t="shared" si="9"/>
        <v>October</v>
      </c>
      <c r="E245" t="str">
        <f t="shared" si="10"/>
        <v>Friday</v>
      </c>
      <c r="F245" s="4">
        <v>0.30486111111111114</v>
      </c>
      <c r="G245" s="4" t="str">
        <f t="shared" si="11"/>
        <v>7:00 AM – 8:00 AM</v>
      </c>
      <c r="H245">
        <v>427</v>
      </c>
      <c r="I245">
        <v>751</v>
      </c>
      <c r="J245">
        <v>11</v>
      </c>
      <c r="K245">
        <v>293</v>
      </c>
      <c r="L245">
        <v>2</v>
      </c>
      <c r="M245">
        <v>2</v>
      </c>
      <c r="N245">
        <v>3</v>
      </c>
      <c r="O245">
        <v>292</v>
      </c>
      <c r="P245">
        <v>3</v>
      </c>
    </row>
    <row r="246" spans="1:16" x14ac:dyDescent="0.3">
      <c r="A246" s="3" t="s">
        <v>151</v>
      </c>
      <c r="B246" s="3">
        <v>45573</v>
      </c>
      <c r="C246">
        <v>2024</v>
      </c>
      <c r="D246" t="str">
        <f t="shared" si="9"/>
        <v>October</v>
      </c>
      <c r="E246" t="str">
        <f t="shared" si="10"/>
        <v>Tuesday</v>
      </c>
      <c r="F246" s="4">
        <v>0.48125000000000001</v>
      </c>
      <c r="G246" s="4" t="str">
        <f t="shared" si="11"/>
        <v>11:00 AM – 12:00 PM</v>
      </c>
      <c r="H246">
        <v>417</v>
      </c>
      <c r="I246">
        <v>722</v>
      </c>
      <c r="J246">
        <v>11</v>
      </c>
      <c r="K246">
        <v>286</v>
      </c>
      <c r="L246">
        <v>1</v>
      </c>
      <c r="M246">
        <v>1</v>
      </c>
      <c r="N246">
        <v>8</v>
      </c>
      <c r="O246">
        <v>309</v>
      </c>
      <c r="P246">
        <v>10</v>
      </c>
    </row>
    <row r="247" spans="1:16" x14ac:dyDescent="0.3">
      <c r="A247" s="3" t="s">
        <v>160</v>
      </c>
      <c r="B247" s="3">
        <v>45564</v>
      </c>
      <c r="C247">
        <v>2024</v>
      </c>
      <c r="D247" t="str">
        <f t="shared" si="9"/>
        <v>September</v>
      </c>
      <c r="E247" t="str">
        <f t="shared" si="10"/>
        <v>Sunday</v>
      </c>
      <c r="F247" s="4">
        <v>0.78819444444444442</v>
      </c>
      <c r="G247" s="4" t="str">
        <f t="shared" si="11"/>
        <v>6:00 PM – 7:00 PM</v>
      </c>
      <c r="H247">
        <v>408</v>
      </c>
      <c r="I247">
        <v>688</v>
      </c>
      <c r="J247">
        <v>11</v>
      </c>
      <c r="K247">
        <v>216</v>
      </c>
      <c r="L247">
        <v>1</v>
      </c>
      <c r="M247">
        <v>5</v>
      </c>
      <c r="N247">
        <v>2</v>
      </c>
      <c r="O247">
        <v>226</v>
      </c>
      <c r="P247">
        <v>2</v>
      </c>
    </row>
    <row r="248" spans="1:16" x14ac:dyDescent="0.3">
      <c r="A248" s="3" t="s">
        <v>270</v>
      </c>
      <c r="B248" s="3">
        <v>45454</v>
      </c>
      <c r="C248">
        <v>2024</v>
      </c>
      <c r="D248" t="str">
        <f t="shared" si="9"/>
        <v>June</v>
      </c>
      <c r="E248" t="str">
        <f t="shared" si="10"/>
        <v>Tuesday</v>
      </c>
      <c r="F248" s="4">
        <v>0.29305555555555557</v>
      </c>
      <c r="G248" s="4" t="str">
        <f t="shared" si="11"/>
        <v>7:00 AM – 8:00 AM</v>
      </c>
      <c r="H248">
        <v>298</v>
      </c>
      <c r="I248">
        <v>517</v>
      </c>
      <c r="J248">
        <v>11</v>
      </c>
      <c r="K248">
        <v>205</v>
      </c>
      <c r="L248">
        <v>1</v>
      </c>
      <c r="M248">
        <v>1</v>
      </c>
      <c r="N248">
        <v>8</v>
      </c>
      <c r="O248">
        <v>245</v>
      </c>
      <c r="P248">
        <v>0</v>
      </c>
    </row>
    <row r="249" spans="1:16" x14ac:dyDescent="0.3">
      <c r="A249" s="3" t="s">
        <v>313</v>
      </c>
      <c r="B249" s="3">
        <v>45411</v>
      </c>
      <c r="C249">
        <v>2024</v>
      </c>
      <c r="D249" t="str">
        <f t="shared" si="9"/>
        <v>April</v>
      </c>
      <c r="E249" t="str">
        <f t="shared" si="10"/>
        <v>Monday</v>
      </c>
      <c r="F249" s="4">
        <v>0.28194444444444444</v>
      </c>
      <c r="G249" s="4" t="str">
        <f t="shared" si="11"/>
        <v>6:00 AM – 7:00 AM</v>
      </c>
      <c r="H249">
        <v>255</v>
      </c>
      <c r="I249">
        <v>463</v>
      </c>
      <c r="J249">
        <v>11</v>
      </c>
      <c r="K249">
        <v>142</v>
      </c>
      <c r="L249">
        <v>0</v>
      </c>
      <c r="M249">
        <v>0</v>
      </c>
      <c r="N249">
        <v>1</v>
      </c>
      <c r="O249">
        <v>155</v>
      </c>
      <c r="P249">
        <v>2</v>
      </c>
    </row>
    <row r="250" spans="1:16" x14ac:dyDescent="0.3">
      <c r="A250" s="3" t="s">
        <v>366</v>
      </c>
      <c r="B250" s="3">
        <v>45359</v>
      </c>
      <c r="C250">
        <v>2024</v>
      </c>
      <c r="D250" t="str">
        <f t="shared" si="9"/>
        <v>March</v>
      </c>
      <c r="E250" t="str">
        <f t="shared" si="10"/>
        <v>Friday</v>
      </c>
      <c r="F250" s="4">
        <v>0.27013888888888887</v>
      </c>
      <c r="G250" s="4" t="str">
        <f t="shared" si="11"/>
        <v>6:00 AM – 7:00 AM</v>
      </c>
      <c r="H250">
        <v>202</v>
      </c>
      <c r="I250">
        <v>135</v>
      </c>
      <c r="J250">
        <v>11</v>
      </c>
      <c r="K250">
        <v>277</v>
      </c>
      <c r="L250">
        <v>1</v>
      </c>
      <c r="M250">
        <v>0</v>
      </c>
      <c r="N250">
        <v>2</v>
      </c>
      <c r="O250">
        <v>273</v>
      </c>
      <c r="P250">
        <v>1</v>
      </c>
    </row>
    <row r="251" spans="1:16" x14ac:dyDescent="0.3">
      <c r="A251" s="3" t="s">
        <v>20</v>
      </c>
      <c r="B251" s="3">
        <v>45704</v>
      </c>
      <c r="C251">
        <v>2025</v>
      </c>
      <c r="D251" t="str">
        <f t="shared" si="9"/>
        <v>February</v>
      </c>
      <c r="E251" t="str">
        <f t="shared" si="10"/>
        <v>Sunday</v>
      </c>
      <c r="F251" s="4">
        <v>0.6694444444444444</v>
      </c>
      <c r="G251" s="4" t="str">
        <f t="shared" si="11"/>
        <v>4:00 PM – 5:00 PM</v>
      </c>
      <c r="H251">
        <v>548</v>
      </c>
      <c r="I251">
        <v>1288</v>
      </c>
      <c r="J251">
        <v>10</v>
      </c>
      <c r="K251">
        <v>194</v>
      </c>
      <c r="L251">
        <v>1</v>
      </c>
      <c r="M251">
        <v>6</v>
      </c>
      <c r="N251">
        <v>1</v>
      </c>
      <c r="O251">
        <v>200</v>
      </c>
      <c r="P251">
        <v>-2</v>
      </c>
    </row>
    <row r="252" spans="1:16" x14ac:dyDescent="0.3">
      <c r="A252" s="3" t="s">
        <v>31</v>
      </c>
      <c r="B252" s="3">
        <v>45693</v>
      </c>
      <c r="C252">
        <v>2025</v>
      </c>
      <c r="D252" t="str">
        <f t="shared" si="9"/>
        <v>February</v>
      </c>
      <c r="E252" t="str">
        <f t="shared" si="10"/>
        <v>Wednesday</v>
      </c>
      <c r="F252" s="4">
        <v>0.65833333333333333</v>
      </c>
      <c r="G252" s="4" t="str">
        <f t="shared" si="11"/>
        <v>3:00 PM – 4:00 PM</v>
      </c>
      <c r="H252">
        <v>537</v>
      </c>
      <c r="I252">
        <v>1296</v>
      </c>
      <c r="J252">
        <v>10</v>
      </c>
      <c r="K252">
        <v>94</v>
      </c>
      <c r="L252">
        <v>1</v>
      </c>
      <c r="M252">
        <v>1</v>
      </c>
      <c r="N252">
        <v>3</v>
      </c>
      <c r="O252">
        <v>90</v>
      </c>
      <c r="P252">
        <v>2</v>
      </c>
    </row>
    <row r="253" spans="1:16" x14ac:dyDescent="0.3">
      <c r="A253" s="3" t="s">
        <v>44</v>
      </c>
      <c r="B253" s="3">
        <v>45680</v>
      </c>
      <c r="C253">
        <v>2025</v>
      </c>
      <c r="D253" t="str">
        <f t="shared" si="9"/>
        <v>January</v>
      </c>
      <c r="E253" t="str">
        <f t="shared" si="10"/>
        <v>Thursday</v>
      </c>
      <c r="F253" s="4">
        <v>0.61319444444444449</v>
      </c>
      <c r="G253" s="4" t="str">
        <f t="shared" si="11"/>
        <v>2:00 PM – 3:00 PM</v>
      </c>
      <c r="H253">
        <v>524</v>
      </c>
      <c r="I253">
        <v>1288</v>
      </c>
      <c r="J253">
        <v>10</v>
      </c>
      <c r="K253">
        <v>85</v>
      </c>
      <c r="L253">
        <v>1</v>
      </c>
      <c r="M253">
        <v>1</v>
      </c>
      <c r="N253">
        <v>1</v>
      </c>
      <c r="O253">
        <v>85</v>
      </c>
      <c r="P253">
        <v>1</v>
      </c>
    </row>
    <row r="254" spans="1:16" x14ac:dyDescent="0.3">
      <c r="A254" s="3" t="s">
        <v>60</v>
      </c>
      <c r="B254" s="3">
        <v>45664</v>
      </c>
      <c r="C254">
        <v>2025</v>
      </c>
      <c r="D254" t="str">
        <f t="shared" si="9"/>
        <v>January</v>
      </c>
      <c r="E254" t="str">
        <f t="shared" si="10"/>
        <v>Tuesday</v>
      </c>
      <c r="F254" s="4">
        <v>0.61111111111111116</v>
      </c>
      <c r="G254" s="4" t="str">
        <f t="shared" si="11"/>
        <v>2:00 PM – 3:00 PM</v>
      </c>
      <c r="H254">
        <v>508</v>
      </c>
      <c r="I254">
        <v>1260</v>
      </c>
      <c r="J254">
        <v>10</v>
      </c>
      <c r="K254">
        <v>242</v>
      </c>
      <c r="L254">
        <v>1</v>
      </c>
      <c r="M254">
        <v>1</v>
      </c>
      <c r="N254">
        <v>2</v>
      </c>
      <c r="O254">
        <v>241</v>
      </c>
      <c r="P254">
        <v>7</v>
      </c>
    </row>
    <row r="255" spans="1:16" x14ac:dyDescent="0.3">
      <c r="A255" s="3" t="s">
        <v>96</v>
      </c>
      <c r="B255" s="3">
        <v>45628</v>
      </c>
      <c r="C255">
        <v>2024</v>
      </c>
      <c r="D255" t="str">
        <f t="shared" si="9"/>
        <v>December</v>
      </c>
      <c r="E255" t="str">
        <f t="shared" si="10"/>
        <v>Monday</v>
      </c>
      <c r="F255" s="4">
        <v>0.47291666666666665</v>
      </c>
      <c r="G255" s="4" t="str">
        <f t="shared" si="11"/>
        <v>11:00 AM – 12:00 PM</v>
      </c>
      <c r="H255">
        <v>472</v>
      </c>
      <c r="I255">
        <v>780</v>
      </c>
      <c r="J255">
        <v>10</v>
      </c>
      <c r="K255">
        <v>466</v>
      </c>
      <c r="L255">
        <v>1</v>
      </c>
      <c r="M255">
        <v>0</v>
      </c>
      <c r="N255">
        <v>0</v>
      </c>
      <c r="O255">
        <v>461</v>
      </c>
      <c r="P255">
        <v>0</v>
      </c>
    </row>
    <row r="256" spans="1:16" x14ac:dyDescent="0.3">
      <c r="A256" s="3" t="s">
        <v>113</v>
      </c>
      <c r="B256" s="3">
        <v>45611</v>
      </c>
      <c r="C256">
        <v>2024</v>
      </c>
      <c r="D256" t="str">
        <f t="shared" si="9"/>
        <v>November</v>
      </c>
      <c r="E256" t="str">
        <f t="shared" si="10"/>
        <v>Friday</v>
      </c>
      <c r="F256" s="4">
        <v>0.59375</v>
      </c>
      <c r="G256" s="4" t="str">
        <f t="shared" si="11"/>
        <v>2:00 PM – 3:00 PM</v>
      </c>
      <c r="H256">
        <v>455</v>
      </c>
      <c r="I256">
        <v>780</v>
      </c>
      <c r="J256">
        <v>10</v>
      </c>
      <c r="K256">
        <v>292</v>
      </c>
      <c r="L256">
        <v>2</v>
      </c>
      <c r="M256">
        <v>0</v>
      </c>
      <c r="N256">
        <v>4</v>
      </c>
      <c r="O256">
        <v>293</v>
      </c>
      <c r="P256">
        <v>1</v>
      </c>
    </row>
    <row r="257" spans="1:16" x14ac:dyDescent="0.3">
      <c r="A257" s="3" t="s">
        <v>114</v>
      </c>
      <c r="B257" s="3">
        <v>45610</v>
      </c>
      <c r="C257">
        <v>2024</v>
      </c>
      <c r="D257" t="str">
        <f t="shared" si="9"/>
        <v>November</v>
      </c>
      <c r="E257" t="str">
        <f t="shared" si="10"/>
        <v>Thursday</v>
      </c>
      <c r="F257" s="4">
        <v>0.52638888888888891</v>
      </c>
      <c r="G257" s="4" t="str">
        <f t="shared" si="11"/>
        <v>12:00 PM – 1:00 PM</v>
      </c>
      <c r="H257">
        <v>454</v>
      </c>
      <c r="I257">
        <v>779</v>
      </c>
      <c r="J257">
        <v>10</v>
      </c>
      <c r="K257">
        <v>199</v>
      </c>
      <c r="L257">
        <v>2</v>
      </c>
      <c r="M257">
        <v>2</v>
      </c>
      <c r="N257">
        <v>3</v>
      </c>
      <c r="O257">
        <v>199</v>
      </c>
      <c r="P257">
        <v>1</v>
      </c>
    </row>
    <row r="258" spans="1:16" x14ac:dyDescent="0.3">
      <c r="A258" s="3" t="s">
        <v>189</v>
      </c>
      <c r="B258" s="3">
        <v>45535</v>
      </c>
      <c r="C258">
        <v>2024</v>
      </c>
      <c r="D258" t="str">
        <f t="shared" ref="D258:D321" si="12">TEXT(B258,"MMMM")</f>
        <v>August</v>
      </c>
      <c r="E258" t="str">
        <f t="shared" ref="E258:E321" si="13">TEXT(B258,"dddd")</f>
        <v>Saturday</v>
      </c>
      <c r="F258" s="4">
        <v>0.30833333333333335</v>
      </c>
      <c r="G258" s="4" t="str">
        <f t="shared" ref="G258:G321" si="14">TEXT(FLOOR(F258,"1:00"),"h:mm AM/PM") &amp; " – " &amp; TEXT(FLOOR(F258,"1:00") + TIME(1,0,0),"h:mm AM/PM")</f>
        <v>7:00 AM – 8:00 AM</v>
      </c>
      <c r="H258">
        <v>379</v>
      </c>
      <c r="I258">
        <v>592</v>
      </c>
      <c r="J258">
        <v>10</v>
      </c>
      <c r="K258">
        <v>305</v>
      </c>
      <c r="L258">
        <v>2</v>
      </c>
      <c r="M258">
        <v>3</v>
      </c>
      <c r="N258">
        <v>2</v>
      </c>
      <c r="O258">
        <v>306</v>
      </c>
      <c r="P258">
        <v>5</v>
      </c>
    </row>
    <row r="259" spans="1:16" x14ac:dyDescent="0.3">
      <c r="A259" s="3" t="s">
        <v>202</v>
      </c>
      <c r="B259" s="3">
        <v>45522</v>
      </c>
      <c r="C259">
        <v>2024</v>
      </c>
      <c r="D259" t="str">
        <f t="shared" si="12"/>
        <v>August</v>
      </c>
      <c r="E259" t="str">
        <f t="shared" si="13"/>
        <v>Sunday</v>
      </c>
      <c r="F259" s="4">
        <v>0.3</v>
      </c>
      <c r="G259" s="4" t="str">
        <f t="shared" si="14"/>
        <v>7:00 AM – 8:00 AM</v>
      </c>
      <c r="H259">
        <v>366</v>
      </c>
      <c r="I259">
        <v>571</v>
      </c>
      <c r="J259">
        <v>10</v>
      </c>
      <c r="K259">
        <v>69</v>
      </c>
      <c r="L259">
        <v>1</v>
      </c>
      <c r="M259">
        <v>2</v>
      </c>
      <c r="N259">
        <v>2</v>
      </c>
      <c r="O259">
        <v>72</v>
      </c>
      <c r="P259">
        <v>0</v>
      </c>
    </row>
    <row r="260" spans="1:16" x14ac:dyDescent="0.3">
      <c r="A260" s="3" t="s">
        <v>218</v>
      </c>
      <c r="B260" s="3">
        <v>45506</v>
      </c>
      <c r="C260">
        <v>2024</v>
      </c>
      <c r="D260" t="str">
        <f t="shared" si="12"/>
        <v>August</v>
      </c>
      <c r="E260" t="str">
        <f t="shared" si="13"/>
        <v>Friday</v>
      </c>
      <c r="F260" s="4">
        <v>0.29097222222222224</v>
      </c>
      <c r="G260" s="4" t="str">
        <f t="shared" si="14"/>
        <v>6:00 AM – 7:00 AM</v>
      </c>
      <c r="H260">
        <v>350</v>
      </c>
      <c r="I260">
        <v>565</v>
      </c>
      <c r="J260">
        <v>10</v>
      </c>
      <c r="K260">
        <v>99</v>
      </c>
      <c r="L260">
        <v>1</v>
      </c>
      <c r="M260">
        <v>5</v>
      </c>
      <c r="N260">
        <v>1</v>
      </c>
      <c r="O260">
        <v>105</v>
      </c>
      <c r="P260">
        <v>-1</v>
      </c>
    </row>
    <row r="261" spans="1:16" x14ac:dyDescent="0.3">
      <c r="A261" s="3" t="s">
        <v>244</v>
      </c>
      <c r="B261" s="3">
        <v>45480</v>
      </c>
      <c r="C261">
        <v>2024</v>
      </c>
      <c r="D261" t="str">
        <f t="shared" si="12"/>
        <v>July</v>
      </c>
      <c r="E261" t="str">
        <f t="shared" si="13"/>
        <v>Sunday</v>
      </c>
      <c r="F261" s="4">
        <v>0.28958333333333336</v>
      </c>
      <c r="G261" s="4" t="str">
        <f t="shared" si="14"/>
        <v>6:00 AM – 7:00 AM</v>
      </c>
      <c r="H261">
        <v>324</v>
      </c>
      <c r="I261">
        <v>571</v>
      </c>
      <c r="J261">
        <v>10</v>
      </c>
      <c r="K261">
        <v>115</v>
      </c>
      <c r="L261">
        <v>2</v>
      </c>
      <c r="M261">
        <v>1</v>
      </c>
      <c r="N261">
        <v>1</v>
      </c>
      <c r="O261">
        <v>117</v>
      </c>
      <c r="P261">
        <v>-1</v>
      </c>
    </row>
    <row r="262" spans="1:16" x14ac:dyDescent="0.3">
      <c r="A262" s="3" t="s">
        <v>337</v>
      </c>
      <c r="B262" s="3">
        <v>45387</v>
      </c>
      <c r="C262">
        <v>2024</v>
      </c>
      <c r="D262" t="str">
        <f t="shared" si="12"/>
        <v>April</v>
      </c>
      <c r="E262" t="str">
        <f t="shared" si="13"/>
        <v>Friday</v>
      </c>
      <c r="F262" s="4">
        <v>0.19236111111111112</v>
      </c>
      <c r="G262" s="4" t="str">
        <f t="shared" si="14"/>
        <v>4:00 AM – 5:00 AM</v>
      </c>
      <c r="H262">
        <v>231</v>
      </c>
      <c r="I262">
        <v>329</v>
      </c>
      <c r="J262">
        <v>10</v>
      </c>
      <c r="K262">
        <v>169</v>
      </c>
      <c r="L262">
        <v>1</v>
      </c>
      <c r="M262">
        <v>0</v>
      </c>
      <c r="N262">
        <v>2</v>
      </c>
      <c r="O262">
        <v>161</v>
      </c>
      <c r="P262">
        <v>12</v>
      </c>
    </row>
    <row r="263" spans="1:16" x14ac:dyDescent="0.3">
      <c r="A263" s="3" t="s">
        <v>359</v>
      </c>
      <c r="B263" s="3">
        <v>45366</v>
      </c>
      <c r="C263">
        <v>2024</v>
      </c>
      <c r="D263" t="str">
        <f t="shared" si="12"/>
        <v>March</v>
      </c>
      <c r="E263" t="str">
        <f t="shared" si="13"/>
        <v>Friday</v>
      </c>
      <c r="F263" s="4">
        <v>0.21597222222222223</v>
      </c>
      <c r="G263" s="4" t="str">
        <f t="shared" si="14"/>
        <v>5:00 AM – 6:00 AM</v>
      </c>
      <c r="H263">
        <v>209</v>
      </c>
      <c r="I263">
        <v>141</v>
      </c>
      <c r="J263">
        <v>10</v>
      </c>
      <c r="K263">
        <v>214</v>
      </c>
      <c r="L263">
        <v>2</v>
      </c>
      <c r="M263">
        <v>2</v>
      </c>
      <c r="N263">
        <v>1</v>
      </c>
      <c r="O263">
        <v>211</v>
      </c>
      <c r="P263">
        <v>0</v>
      </c>
    </row>
    <row r="264" spans="1:16" x14ac:dyDescent="0.3">
      <c r="A264" s="3" t="s">
        <v>362</v>
      </c>
      <c r="B264" s="3">
        <v>45363</v>
      </c>
      <c r="C264">
        <v>2024</v>
      </c>
      <c r="D264" t="str">
        <f t="shared" si="12"/>
        <v>March</v>
      </c>
      <c r="E264" t="str">
        <f t="shared" si="13"/>
        <v>Tuesday</v>
      </c>
      <c r="F264" s="4">
        <v>0.19722222222222222</v>
      </c>
      <c r="G264" s="4" t="str">
        <f t="shared" si="14"/>
        <v>4:00 AM – 5:00 AM</v>
      </c>
      <c r="H264">
        <v>206</v>
      </c>
      <c r="I264">
        <v>138</v>
      </c>
      <c r="J264">
        <v>10</v>
      </c>
      <c r="K264">
        <v>280</v>
      </c>
      <c r="L264">
        <v>1</v>
      </c>
      <c r="M264">
        <v>0</v>
      </c>
      <c r="N264">
        <v>0</v>
      </c>
      <c r="O264">
        <v>280</v>
      </c>
      <c r="P264">
        <v>1</v>
      </c>
    </row>
    <row r="265" spans="1:16" x14ac:dyDescent="0.3">
      <c r="A265" s="3" t="s">
        <v>410</v>
      </c>
      <c r="B265" s="3">
        <v>45315</v>
      </c>
      <c r="C265">
        <v>2024</v>
      </c>
      <c r="D265" t="str">
        <f t="shared" si="12"/>
        <v>January</v>
      </c>
      <c r="E265" t="str">
        <f t="shared" si="13"/>
        <v>Wednesday</v>
      </c>
      <c r="F265" s="4">
        <v>0.28888888888888886</v>
      </c>
      <c r="G265" s="4" t="str">
        <f t="shared" si="14"/>
        <v>6:00 AM – 7:00 AM</v>
      </c>
      <c r="H265">
        <v>158</v>
      </c>
      <c r="I265">
        <v>118</v>
      </c>
      <c r="J265">
        <v>10</v>
      </c>
      <c r="K265">
        <v>170</v>
      </c>
      <c r="L265">
        <v>1</v>
      </c>
      <c r="M265">
        <v>0</v>
      </c>
      <c r="N265">
        <v>0</v>
      </c>
      <c r="O265">
        <v>168</v>
      </c>
      <c r="P265">
        <v>1</v>
      </c>
    </row>
    <row r="266" spans="1:16" x14ac:dyDescent="0.3">
      <c r="A266" s="3" t="s">
        <v>16</v>
      </c>
      <c r="B266" s="3">
        <v>45708</v>
      </c>
      <c r="C266">
        <v>2025</v>
      </c>
      <c r="D266" t="str">
        <f t="shared" si="12"/>
        <v>February</v>
      </c>
      <c r="E266" t="str">
        <f t="shared" si="13"/>
        <v>Thursday</v>
      </c>
      <c r="F266" s="4">
        <v>0.73541666666666672</v>
      </c>
      <c r="G266" s="4" t="str">
        <f t="shared" si="14"/>
        <v>5:00 PM – 6:00 PM</v>
      </c>
      <c r="H266">
        <v>552</v>
      </c>
      <c r="I266">
        <v>1289</v>
      </c>
      <c r="J266">
        <v>9</v>
      </c>
      <c r="K266">
        <v>215</v>
      </c>
      <c r="L266">
        <v>1</v>
      </c>
      <c r="M266">
        <v>4</v>
      </c>
      <c r="N266">
        <v>4</v>
      </c>
      <c r="O266">
        <v>219</v>
      </c>
      <c r="P266">
        <v>1</v>
      </c>
    </row>
    <row r="267" spans="1:16" x14ac:dyDescent="0.3">
      <c r="A267" s="3" t="s">
        <v>41</v>
      </c>
      <c r="B267" s="3">
        <v>45683</v>
      </c>
      <c r="C267">
        <v>2025</v>
      </c>
      <c r="D267" t="str">
        <f t="shared" si="12"/>
        <v>January</v>
      </c>
      <c r="E267" t="str">
        <f t="shared" si="13"/>
        <v>Sunday</v>
      </c>
      <c r="F267" s="4">
        <v>0.62777777777777777</v>
      </c>
      <c r="G267" s="4" t="str">
        <f t="shared" si="14"/>
        <v>3:00 PM – 4:00 PM</v>
      </c>
      <c r="H267">
        <v>527</v>
      </c>
      <c r="I267">
        <v>1290</v>
      </c>
      <c r="J267">
        <v>9</v>
      </c>
      <c r="K267">
        <v>255</v>
      </c>
      <c r="L267">
        <v>1</v>
      </c>
      <c r="M267">
        <v>0</v>
      </c>
      <c r="N267">
        <v>4</v>
      </c>
      <c r="O267">
        <v>255</v>
      </c>
      <c r="P267">
        <v>2</v>
      </c>
    </row>
    <row r="268" spans="1:16" x14ac:dyDescent="0.3">
      <c r="A268" s="3" t="s">
        <v>78</v>
      </c>
      <c r="B268" s="3">
        <v>45646</v>
      </c>
      <c r="C268">
        <v>2024</v>
      </c>
      <c r="D268" t="str">
        <f t="shared" si="12"/>
        <v>December</v>
      </c>
      <c r="E268" t="str">
        <f t="shared" si="13"/>
        <v>Friday</v>
      </c>
      <c r="F268" s="4">
        <v>0.28194444444444444</v>
      </c>
      <c r="G268" s="4" t="str">
        <f t="shared" si="14"/>
        <v>6:00 AM – 7:00 AM</v>
      </c>
      <c r="H268">
        <v>490</v>
      </c>
      <c r="I268">
        <v>793</v>
      </c>
      <c r="J268">
        <v>9</v>
      </c>
      <c r="K268">
        <v>812</v>
      </c>
      <c r="L268">
        <v>1</v>
      </c>
      <c r="M268">
        <v>0</v>
      </c>
      <c r="N268">
        <v>0</v>
      </c>
      <c r="O268">
        <v>804</v>
      </c>
      <c r="P268">
        <v>3</v>
      </c>
    </row>
    <row r="269" spans="1:16" x14ac:dyDescent="0.3">
      <c r="A269" s="3" t="s">
        <v>98</v>
      </c>
      <c r="B269" s="3">
        <v>45626</v>
      </c>
      <c r="C269">
        <v>2024</v>
      </c>
      <c r="D269" t="str">
        <f t="shared" si="12"/>
        <v>November</v>
      </c>
      <c r="E269" t="str">
        <f t="shared" si="13"/>
        <v>Saturday</v>
      </c>
      <c r="F269" s="4">
        <v>0.53055555555555556</v>
      </c>
      <c r="G269" s="4" t="str">
        <f t="shared" si="14"/>
        <v>12:00 PM – 1:00 PM</v>
      </c>
      <c r="H269">
        <v>470</v>
      </c>
      <c r="I269">
        <v>780</v>
      </c>
      <c r="J269">
        <v>9</v>
      </c>
      <c r="K269">
        <v>254</v>
      </c>
      <c r="L269">
        <v>1</v>
      </c>
      <c r="M269">
        <v>0</v>
      </c>
      <c r="N269">
        <v>1</v>
      </c>
      <c r="O269">
        <v>255</v>
      </c>
      <c r="P269">
        <v>0</v>
      </c>
    </row>
    <row r="270" spans="1:16" x14ac:dyDescent="0.3">
      <c r="A270" s="3" t="s">
        <v>177</v>
      </c>
      <c r="B270" s="3">
        <v>45547</v>
      </c>
      <c r="C270">
        <v>2024</v>
      </c>
      <c r="D270" t="str">
        <f t="shared" si="12"/>
        <v>September</v>
      </c>
      <c r="E270" t="str">
        <f t="shared" si="13"/>
        <v>Thursday</v>
      </c>
      <c r="F270" s="4">
        <v>0.39652777777777776</v>
      </c>
      <c r="G270" s="4" t="str">
        <f t="shared" si="14"/>
        <v>9:00 AM – 10:00 AM</v>
      </c>
      <c r="H270">
        <v>391</v>
      </c>
      <c r="I270">
        <v>635</v>
      </c>
      <c r="J270">
        <v>9</v>
      </c>
      <c r="K270">
        <v>468</v>
      </c>
      <c r="L270">
        <v>2</v>
      </c>
      <c r="M270">
        <v>7</v>
      </c>
      <c r="N270">
        <v>5</v>
      </c>
      <c r="O270">
        <v>497</v>
      </c>
      <c r="P270">
        <v>4</v>
      </c>
    </row>
    <row r="271" spans="1:16" x14ac:dyDescent="0.3">
      <c r="A271" s="3" t="s">
        <v>197</v>
      </c>
      <c r="B271" s="3">
        <v>45527</v>
      </c>
      <c r="C271">
        <v>2024</v>
      </c>
      <c r="D271" t="str">
        <f t="shared" si="12"/>
        <v>August</v>
      </c>
      <c r="E271" t="str">
        <f t="shared" si="13"/>
        <v>Friday</v>
      </c>
      <c r="F271" s="4">
        <v>0.31388888888888888</v>
      </c>
      <c r="G271" s="4" t="str">
        <f t="shared" si="14"/>
        <v>7:00 AM – 8:00 AM</v>
      </c>
      <c r="H271">
        <v>371</v>
      </c>
      <c r="I271">
        <v>575</v>
      </c>
      <c r="J271">
        <v>9</v>
      </c>
      <c r="K271">
        <v>93</v>
      </c>
      <c r="L271">
        <v>2</v>
      </c>
      <c r="M271">
        <v>6</v>
      </c>
      <c r="N271">
        <v>2</v>
      </c>
      <c r="O271">
        <v>93</v>
      </c>
      <c r="P271">
        <v>0</v>
      </c>
    </row>
    <row r="272" spans="1:16" x14ac:dyDescent="0.3">
      <c r="A272" s="3" t="s">
        <v>243</v>
      </c>
      <c r="B272" s="3">
        <v>45481</v>
      </c>
      <c r="C272">
        <v>2024</v>
      </c>
      <c r="D272" t="str">
        <f t="shared" si="12"/>
        <v>July</v>
      </c>
      <c r="E272" t="str">
        <f t="shared" si="13"/>
        <v>Monday</v>
      </c>
      <c r="F272" s="4">
        <v>0.30625000000000002</v>
      </c>
      <c r="G272" s="4" t="str">
        <f t="shared" si="14"/>
        <v>7:00 AM – 8:00 AM</v>
      </c>
      <c r="H272">
        <v>325</v>
      </c>
      <c r="I272">
        <v>571</v>
      </c>
      <c r="J272">
        <v>9</v>
      </c>
      <c r="K272">
        <v>52</v>
      </c>
      <c r="L272">
        <v>1</v>
      </c>
      <c r="M272">
        <v>0</v>
      </c>
      <c r="N272">
        <v>1</v>
      </c>
      <c r="O272">
        <v>50</v>
      </c>
      <c r="P272">
        <v>0</v>
      </c>
    </row>
    <row r="273" spans="1:16" x14ac:dyDescent="0.3">
      <c r="A273" s="3" t="s">
        <v>257</v>
      </c>
      <c r="B273" s="3">
        <v>45467</v>
      </c>
      <c r="C273">
        <v>2024</v>
      </c>
      <c r="D273" t="str">
        <f t="shared" si="12"/>
        <v>June</v>
      </c>
      <c r="E273" t="str">
        <f t="shared" si="13"/>
        <v>Monday</v>
      </c>
      <c r="F273" s="4">
        <v>0.27500000000000002</v>
      </c>
      <c r="G273" s="4" t="str">
        <f t="shared" si="14"/>
        <v>6:00 AM – 7:00 AM</v>
      </c>
      <c r="H273">
        <v>311</v>
      </c>
      <c r="I273">
        <v>524</v>
      </c>
      <c r="J273">
        <v>9</v>
      </c>
      <c r="K273">
        <v>116</v>
      </c>
      <c r="L273">
        <v>1</v>
      </c>
      <c r="M273">
        <v>1</v>
      </c>
      <c r="N273">
        <v>0</v>
      </c>
      <c r="O273">
        <v>132</v>
      </c>
      <c r="P273">
        <v>1</v>
      </c>
    </row>
    <row r="274" spans="1:16" x14ac:dyDescent="0.3">
      <c r="A274" s="3" t="s">
        <v>279</v>
      </c>
      <c r="B274" s="3">
        <v>45445</v>
      </c>
      <c r="C274">
        <v>2024</v>
      </c>
      <c r="D274" t="str">
        <f t="shared" si="12"/>
        <v>June</v>
      </c>
      <c r="E274" t="str">
        <f t="shared" si="13"/>
        <v>Sunday</v>
      </c>
      <c r="F274" s="4">
        <v>0.29097222222222224</v>
      </c>
      <c r="G274" s="4" t="str">
        <f t="shared" si="14"/>
        <v>6:00 AM – 7:00 AM</v>
      </c>
      <c r="H274">
        <v>289</v>
      </c>
      <c r="I274">
        <v>514</v>
      </c>
      <c r="J274">
        <v>9</v>
      </c>
      <c r="K274">
        <v>104</v>
      </c>
      <c r="L274">
        <v>3</v>
      </c>
      <c r="M274">
        <v>1</v>
      </c>
      <c r="N274">
        <v>3</v>
      </c>
      <c r="O274">
        <v>129</v>
      </c>
      <c r="P274">
        <v>2</v>
      </c>
    </row>
    <row r="275" spans="1:16" x14ac:dyDescent="0.3">
      <c r="A275" s="3" t="s">
        <v>295</v>
      </c>
      <c r="B275" s="3">
        <v>45429</v>
      </c>
      <c r="C275">
        <v>2024</v>
      </c>
      <c r="D275" t="str">
        <f t="shared" si="12"/>
        <v>May</v>
      </c>
      <c r="E275" t="str">
        <f t="shared" si="13"/>
        <v>Friday</v>
      </c>
      <c r="F275" s="4">
        <v>0.26874999999999999</v>
      </c>
      <c r="G275" s="4" t="str">
        <f t="shared" si="14"/>
        <v>6:00 AM – 7:00 AM</v>
      </c>
      <c r="H275">
        <v>273</v>
      </c>
      <c r="I275">
        <v>493</v>
      </c>
      <c r="J275">
        <v>9</v>
      </c>
      <c r="K275">
        <v>83</v>
      </c>
      <c r="L275">
        <v>2</v>
      </c>
      <c r="M275">
        <v>1</v>
      </c>
      <c r="N275">
        <v>1</v>
      </c>
      <c r="O275">
        <v>83</v>
      </c>
      <c r="P275">
        <v>0</v>
      </c>
    </row>
    <row r="276" spans="1:16" x14ac:dyDescent="0.3">
      <c r="A276" s="3" t="s">
        <v>309</v>
      </c>
      <c r="B276" s="3">
        <v>45415</v>
      </c>
      <c r="C276">
        <v>2024</v>
      </c>
      <c r="D276" t="str">
        <f t="shared" si="12"/>
        <v>May</v>
      </c>
      <c r="E276" t="str">
        <f t="shared" si="13"/>
        <v>Friday</v>
      </c>
      <c r="F276" s="4">
        <v>0.25277777777777777</v>
      </c>
      <c r="G276" s="4" t="str">
        <f t="shared" si="14"/>
        <v>6:00 AM – 7:00 AM</v>
      </c>
      <c r="H276">
        <v>259</v>
      </c>
      <c r="I276">
        <v>470</v>
      </c>
      <c r="J276">
        <v>9</v>
      </c>
      <c r="K276">
        <v>115</v>
      </c>
      <c r="L276">
        <v>1</v>
      </c>
      <c r="M276">
        <v>0</v>
      </c>
      <c r="N276">
        <v>1</v>
      </c>
      <c r="O276">
        <v>128</v>
      </c>
      <c r="P276">
        <v>1</v>
      </c>
    </row>
    <row r="277" spans="1:16" x14ac:dyDescent="0.3">
      <c r="A277" s="3" t="s">
        <v>316</v>
      </c>
      <c r="B277" s="3">
        <v>45408</v>
      </c>
      <c r="C277">
        <v>2024</v>
      </c>
      <c r="D277" t="str">
        <f t="shared" si="12"/>
        <v>April</v>
      </c>
      <c r="E277" t="str">
        <f t="shared" si="13"/>
        <v>Friday</v>
      </c>
      <c r="F277" s="4">
        <v>0.2388888888888889</v>
      </c>
      <c r="G277" s="4" t="str">
        <f t="shared" si="14"/>
        <v>5:00 AM – 6:00 AM</v>
      </c>
      <c r="H277">
        <v>252</v>
      </c>
      <c r="I277">
        <v>456</v>
      </c>
      <c r="J277">
        <v>9</v>
      </c>
      <c r="K277">
        <v>123</v>
      </c>
      <c r="L277">
        <v>1</v>
      </c>
      <c r="M277">
        <v>0</v>
      </c>
      <c r="N277">
        <v>1</v>
      </c>
      <c r="O277">
        <v>122</v>
      </c>
      <c r="P277">
        <v>3</v>
      </c>
    </row>
    <row r="278" spans="1:16" x14ac:dyDescent="0.3">
      <c r="A278" s="3" t="s">
        <v>321</v>
      </c>
      <c r="B278" s="3">
        <v>45403</v>
      </c>
      <c r="C278">
        <v>2024</v>
      </c>
      <c r="D278" t="str">
        <f t="shared" si="12"/>
        <v>April</v>
      </c>
      <c r="E278" t="str">
        <f t="shared" si="13"/>
        <v>Sunday</v>
      </c>
      <c r="F278" s="4">
        <v>0.19791666666666666</v>
      </c>
      <c r="G278" s="4" t="str">
        <f t="shared" si="14"/>
        <v>4:00 AM – 5:00 AM</v>
      </c>
      <c r="H278">
        <v>247</v>
      </c>
      <c r="I278">
        <v>451</v>
      </c>
      <c r="J278">
        <v>9</v>
      </c>
      <c r="K278">
        <v>150</v>
      </c>
      <c r="L278">
        <v>1</v>
      </c>
      <c r="M278">
        <v>0</v>
      </c>
      <c r="N278">
        <v>1</v>
      </c>
      <c r="O278">
        <v>147</v>
      </c>
      <c r="P278">
        <v>1</v>
      </c>
    </row>
    <row r="279" spans="1:16" x14ac:dyDescent="0.3">
      <c r="A279" s="3" t="s">
        <v>323</v>
      </c>
      <c r="B279" s="3">
        <v>45401</v>
      </c>
      <c r="C279">
        <v>2024</v>
      </c>
      <c r="D279" t="str">
        <f t="shared" si="12"/>
        <v>April</v>
      </c>
      <c r="E279" t="str">
        <f t="shared" si="13"/>
        <v>Friday</v>
      </c>
      <c r="F279" s="4">
        <v>0.23680555555555555</v>
      </c>
      <c r="G279" s="4" t="str">
        <f t="shared" si="14"/>
        <v>5:00 AM – 6:00 AM</v>
      </c>
      <c r="H279">
        <v>245</v>
      </c>
      <c r="I279">
        <v>447</v>
      </c>
      <c r="J279">
        <v>9</v>
      </c>
      <c r="K279">
        <v>134</v>
      </c>
      <c r="L279">
        <v>1</v>
      </c>
      <c r="M279">
        <v>0</v>
      </c>
      <c r="N279">
        <v>1</v>
      </c>
      <c r="O279">
        <v>135</v>
      </c>
      <c r="P279">
        <v>8</v>
      </c>
    </row>
    <row r="280" spans="1:16" x14ac:dyDescent="0.3">
      <c r="A280" s="3" t="s">
        <v>327</v>
      </c>
      <c r="B280" s="3">
        <v>45397</v>
      </c>
      <c r="C280">
        <v>2024</v>
      </c>
      <c r="D280" t="str">
        <f t="shared" si="12"/>
        <v>April</v>
      </c>
      <c r="E280" t="str">
        <f t="shared" si="13"/>
        <v>Monday</v>
      </c>
      <c r="F280" s="4">
        <v>0.24791666666666667</v>
      </c>
      <c r="G280" s="4" t="str">
        <f t="shared" si="14"/>
        <v>5:00 AM – 6:00 AM</v>
      </c>
      <c r="H280">
        <v>241</v>
      </c>
      <c r="I280">
        <v>422</v>
      </c>
      <c r="J280">
        <v>9</v>
      </c>
      <c r="K280">
        <v>219</v>
      </c>
      <c r="L280">
        <v>1</v>
      </c>
      <c r="M280">
        <v>5</v>
      </c>
      <c r="N280">
        <v>10</v>
      </c>
      <c r="O280">
        <v>227</v>
      </c>
      <c r="P280">
        <v>8</v>
      </c>
    </row>
    <row r="281" spans="1:16" x14ac:dyDescent="0.3">
      <c r="A281" s="3" t="s">
        <v>328</v>
      </c>
      <c r="B281" s="3">
        <v>45396</v>
      </c>
      <c r="C281">
        <v>2024</v>
      </c>
      <c r="D281" t="str">
        <f t="shared" si="12"/>
        <v>April</v>
      </c>
      <c r="E281" t="str">
        <f t="shared" si="13"/>
        <v>Sunday</v>
      </c>
      <c r="F281" s="4">
        <v>0.25763888888888886</v>
      </c>
      <c r="G281" s="4" t="str">
        <f t="shared" si="14"/>
        <v>6:00 AM – 7:00 AM</v>
      </c>
      <c r="H281">
        <v>240</v>
      </c>
      <c r="I281">
        <v>414</v>
      </c>
      <c r="J281">
        <v>9</v>
      </c>
      <c r="K281">
        <v>309</v>
      </c>
      <c r="L281">
        <v>1</v>
      </c>
      <c r="M281">
        <v>2</v>
      </c>
      <c r="N281">
        <v>0</v>
      </c>
      <c r="O281">
        <v>297</v>
      </c>
      <c r="P281">
        <v>18</v>
      </c>
    </row>
    <row r="282" spans="1:16" x14ac:dyDescent="0.3">
      <c r="A282" s="3" t="s">
        <v>371</v>
      </c>
      <c r="B282" s="3">
        <v>45354</v>
      </c>
      <c r="C282">
        <v>2024</v>
      </c>
      <c r="D282" t="str">
        <f t="shared" si="12"/>
        <v>March</v>
      </c>
      <c r="E282" t="str">
        <f t="shared" si="13"/>
        <v>Sunday</v>
      </c>
      <c r="F282" s="4">
        <v>0.13541666666666666</v>
      </c>
      <c r="G282" s="4" t="str">
        <f t="shared" si="14"/>
        <v>3:00 AM – 4:00 AM</v>
      </c>
      <c r="H282">
        <v>197</v>
      </c>
      <c r="I282">
        <v>132</v>
      </c>
      <c r="J282">
        <v>9</v>
      </c>
      <c r="K282">
        <v>93</v>
      </c>
      <c r="L282">
        <v>1</v>
      </c>
      <c r="M282">
        <v>0</v>
      </c>
      <c r="N282">
        <v>0</v>
      </c>
      <c r="O282">
        <v>96</v>
      </c>
      <c r="P282">
        <v>1</v>
      </c>
    </row>
    <row r="283" spans="1:16" x14ac:dyDescent="0.3">
      <c r="A283" s="3" t="s">
        <v>26</v>
      </c>
      <c r="B283" s="3">
        <v>45698</v>
      </c>
      <c r="C283">
        <v>2025</v>
      </c>
      <c r="D283" t="str">
        <f t="shared" si="12"/>
        <v>February</v>
      </c>
      <c r="E283" t="str">
        <f t="shared" si="13"/>
        <v>Monday</v>
      </c>
      <c r="F283" s="4">
        <v>0.62847222222222221</v>
      </c>
      <c r="G283" s="4" t="str">
        <f t="shared" si="14"/>
        <v>3:00 PM – 4:00 PM</v>
      </c>
      <c r="H283">
        <v>542</v>
      </c>
      <c r="I283">
        <v>1293</v>
      </c>
      <c r="J283">
        <v>8</v>
      </c>
      <c r="K283">
        <v>245</v>
      </c>
      <c r="L283">
        <v>1</v>
      </c>
      <c r="M283">
        <v>1</v>
      </c>
      <c r="N283">
        <v>3</v>
      </c>
      <c r="O283">
        <v>249</v>
      </c>
      <c r="P283">
        <v>-2</v>
      </c>
    </row>
    <row r="284" spans="1:16" x14ac:dyDescent="0.3">
      <c r="A284" s="3" t="s">
        <v>40</v>
      </c>
      <c r="B284" s="3">
        <v>45684</v>
      </c>
      <c r="C284">
        <v>2025</v>
      </c>
      <c r="D284" t="str">
        <f t="shared" si="12"/>
        <v>January</v>
      </c>
      <c r="E284" t="str">
        <f t="shared" si="13"/>
        <v>Monday</v>
      </c>
      <c r="F284" s="4">
        <v>0.6020833333333333</v>
      </c>
      <c r="G284" s="4" t="str">
        <f t="shared" si="14"/>
        <v>2:00 PM – 3:00 PM</v>
      </c>
      <c r="H284">
        <v>528</v>
      </c>
      <c r="I284">
        <v>1292</v>
      </c>
      <c r="J284">
        <v>8</v>
      </c>
      <c r="K284">
        <v>147</v>
      </c>
      <c r="L284">
        <v>2</v>
      </c>
      <c r="M284">
        <v>0</v>
      </c>
      <c r="N284">
        <v>1</v>
      </c>
      <c r="O284">
        <v>147</v>
      </c>
      <c r="P284">
        <v>2</v>
      </c>
    </row>
    <row r="285" spans="1:16" x14ac:dyDescent="0.3">
      <c r="A285" s="3" t="s">
        <v>47</v>
      </c>
      <c r="B285" s="3">
        <v>45677</v>
      </c>
      <c r="C285">
        <v>2025</v>
      </c>
      <c r="D285" t="str">
        <f t="shared" si="12"/>
        <v>January</v>
      </c>
      <c r="E285" t="str">
        <f t="shared" si="13"/>
        <v>Monday</v>
      </c>
      <c r="F285" s="4">
        <v>0.61458333333333337</v>
      </c>
      <c r="G285" s="4" t="str">
        <f t="shared" si="14"/>
        <v>2:00 PM – 3:00 PM</v>
      </c>
      <c r="H285">
        <v>521</v>
      </c>
      <c r="I285">
        <v>1285</v>
      </c>
      <c r="J285">
        <v>8</v>
      </c>
      <c r="K285">
        <v>149</v>
      </c>
      <c r="L285">
        <v>1</v>
      </c>
      <c r="M285">
        <v>0</v>
      </c>
      <c r="N285">
        <v>2</v>
      </c>
      <c r="O285">
        <v>151</v>
      </c>
      <c r="P285">
        <v>2</v>
      </c>
    </row>
    <row r="286" spans="1:16" x14ac:dyDescent="0.3">
      <c r="A286" s="3" t="s">
        <v>88</v>
      </c>
      <c r="B286" s="3">
        <v>45636</v>
      </c>
      <c r="C286">
        <v>2024</v>
      </c>
      <c r="D286" t="str">
        <f t="shared" si="12"/>
        <v>December</v>
      </c>
      <c r="E286" t="str">
        <f t="shared" si="13"/>
        <v>Tuesday</v>
      </c>
      <c r="F286" s="4">
        <v>0.56597222222222221</v>
      </c>
      <c r="G286" s="4" t="str">
        <f t="shared" si="14"/>
        <v>1:00 PM – 2:00 PM</v>
      </c>
      <c r="H286">
        <v>480</v>
      </c>
      <c r="I286">
        <v>787</v>
      </c>
      <c r="J286">
        <v>8</v>
      </c>
      <c r="K286">
        <v>443</v>
      </c>
      <c r="L286">
        <v>1</v>
      </c>
      <c r="M286">
        <v>0</v>
      </c>
      <c r="N286">
        <v>1</v>
      </c>
      <c r="O286">
        <v>442</v>
      </c>
      <c r="P286">
        <v>0</v>
      </c>
    </row>
    <row r="287" spans="1:16" x14ac:dyDescent="0.3">
      <c r="A287" s="3" t="s">
        <v>165</v>
      </c>
      <c r="B287" s="3">
        <v>45559</v>
      </c>
      <c r="C287">
        <v>2024</v>
      </c>
      <c r="D287" t="str">
        <f t="shared" si="12"/>
        <v>September</v>
      </c>
      <c r="E287" t="str">
        <f t="shared" si="13"/>
        <v>Tuesday</v>
      </c>
      <c r="F287" s="4">
        <v>0.59722222222222221</v>
      </c>
      <c r="G287" s="4" t="str">
        <f t="shared" si="14"/>
        <v>2:00 PM – 3:00 PM</v>
      </c>
      <c r="H287">
        <v>403</v>
      </c>
      <c r="I287">
        <v>670</v>
      </c>
      <c r="J287">
        <v>8</v>
      </c>
      <c r="K287">
        <v>529</v>
      </c>
      <c r="L287">
        <v>1</v>
      </c>
      <c r="M287">
        <v>6</v>
      </c>
      <c r="N287">
        <v>2</v>
      </c>
      <c r="O287">
        <v>521</v>
      </c>
      <c r="P287">
        <v>9</v>
      </c>
    </row>
    <row r="288" spans="1:16" x14ac:dyDescent="0.3">
      <c r="A288" s="3" t="s">
        <v>171</v>
      </c>
      <c r="B288" s="3">
        <v>45553</v>
      </c>
      <c r="C288">
        <v>2024</v>
      </c>
      <c r="D288" t="str">
        <f t="shared" si="12"/>
        <v>September</v>
      </c>
      <c r="E288" t="str">
        <f t="shared" si="13"/>
        <v>Wednesday</v>
      </c>
      <c r="F288" s="4">
        <v>0.30833333333333335</v>
      </c>
      <c r="G288" s="4" t="str">
        <f t="shared" si="14"/>
        <v>7:00 AM – 8:00 AM</v>
      </c>
      <c r="H288">
        <v>397</v>
      </c>
      <c r="I288">
        <v>652</v>
      </c>
      <c r="J288">
        <v>8</v>
      </c>
      <c r="K288">
        <v>211</v>
      </c>
      <c r="L288">
        <v>1</v>
      </c>
      <c r="M288">
        <v>2</v>
      </c>
      <c r="N288">
        <v>7</v>
      </c>
      <c r="O288">
        <v>240</v>
      </c>
      <c r="P288">
        <v>4</v>
      </c>
    </row>
    <row r="289" spans="1:16" x14ac:dyDescent="0.3">
      <c r="A289" s="3" t="s">
        <v>186</v>
      </c>
      <c r="B289" s="3">
        <v>45538</v>
      </c>
      <c r="C289">
        <v>2024</v>
      </c>
      <c r="D289" t="str">
        <f t="shared" si="12"/>
        <v>September</v>
      </c>
      <c r="E289" t="str">
        <f t="shared" si="13"/>
        <v>Tuesday</v>
      </c>
      <c r="F289" s="4">
        <v>0.29930555555555555</v>
      </c>
      <c r="G289" s="4" t="str">
        <f t="shared" si="14"/>
        <v>7:00 AM – 8:00 AM</v>
      </c>
      <c r="H289">
        <v>382</v>
      </c>
      <c r="I289">
        <v>599</v>
      </c>
      <c r="J289">
        <v>8</v>
      </c>
      <c r="K289">
        <v>197</v>
      </c>
      <c r="L289">
        <v>4</v>
      </c>
      <c r="M289">
        <v>0</v>
      </c>
      <c r="N289">
        <v>2</v>
      </c>
      <c r="O289">
        <v>199</v>
      </c>
      <c r="P289">
        <v>2</v>
      </c>
    </row>
    <row r="290" spans="1:16" x14ac:dyDescent="0.3">
      <c r="A290" s="3" t="s">
        <v>191</v>
      </c>
      <c r="B290" s="3">
        <v>45533</v>
      </c>
      <c r="C290">
        <v>2024</v>
      </c>
      <c r="D290" t="str">
        <f t="shared" si="12"/>
        <v>August</v>
      </c>
      <c r="E290" t="str">
        <f t="shared" si="13"/>
        <v>Thursday</v>
      </c>
      <c r="F290" s="4">
        <v>0.98333333333333328</v>
      </c>
      <c r="G290" s="4" t="str">
        <f t="shared" si="14"/>
        <v>11:00 PM – 12:00 AM</v>
      </c>
      <c r="H290">
        <v>377</v>
      </c>
      <c r="I290">
        <v>587</v>
      </c>
      <c r="J290">
        <v>8</v>
      </c>
      <c r="K290">
        <v>228</v>
      </c>
      <c r="L290">
        <v>1</v>
      </c>
      <c r="M290">
        <v>0</v>
      </c>
      <c r="N290">
        <v>2</v>
      </c>
      <c r="O290">
        <v>235</v>
      </c>
      <c r="P290">
        <v>2</v>
      </c>
    </row>
    <row r="291" spans="1:16" x14ac:dyDescent="0.3">
      <c r="A291" s="3" t="s">
        <v>209</v>
      </c>
      <c r="B291" s="3">
        <v>45515</v>
      </c>
      <c r="C291">
        <v>2024</v>
      </c>
      <c r="D291" t="str">
        <f t="shared" si="12"/>
        <v>August</v>
      </c>
      <c r="E291" t="str">
        <f t="shared" si="13"/>
        <v>Sunday</v>
      </c>
      <c r="F291" s="4">
        <v>0.28194444444444444</v>
      </c>
      <c r="G291" s="4" t="str">
        <f t="shared" si="14"/>
        <v>6:00 AM – 7:00 AM</v>
      </c>
      <c r="H291">
        <v>359</v>
      </c>
      <c r="I291">
        <v>567</v>
      </c>
      <c r="J291">
        <v>8</v>
      </c>
      <c r="K291">
        <v>68</v>
      </c>
      <c r="L291">
        <v>1</v>
      </c>
      <c r="M291">
        <v>2</v>
      </c>
      <c r="N291">
        <v>0</v>
      </c>
      <c r="O291">
        <v>71</v>
      </c>
      <c r="P291">
        <v>0</v>
      </c>
    </row>
    <row r="292" spans="1:16" x14ac:dyDescent="0.3">
      <c r="A292" s="3" t="s">
        <v>215</v>
      </c>
      <c r="B292" s="3">
        <v>45509</v>
      </c>
      <c r="C292">
        <v>2024</v>
      </c>
      <c r="D292" t="str">
        <f t="shared" si="12"/>
        <v>August</v>
      </c>
      <c r="E292" t="str">
        <f t="shared" si="13"/>
        <v>Monday</v>
      </c>
      <c r="F292" s="4">
        <v>0.28194444444444444</v>
      </c>
      <c r="G292" s="4" t="str">
        <f t="shared" si="14"/>
        <v>6:00 AM – 7:00 AM</v>
      </c>
      <c r="H292">
        <v>353</v>
      </c>
      <c r="I292">
        <v>565</v>
      </c>
      <c r="J292">
        <v>8</v>
      </c>
      <c r="K292">
        <v>136</v>
      </c>
      <c r="L292">
        <v>1</v>
      </c>
      <c r="M292">
        <v>5</v>
      </c>
      <c r="N292">
        <v>0</v>
      </c>
      <c r="O292">
        <v>163</v>
      </c>
      <c r="P292">
        <v>0</v>
      </c>
    </row>
    <row r="293" spans="1:16" x14ac:dyDescent="0.3">
      <c r="A293" s="3" t="s">
        <v>236</v>
      </c>
      <c r="B293" s="3">
        <v>45488</v>
      </c>
      <c r="C293">
        <v>2024</v>
      </c>
      <c r="D293" t="str">
        <f t="shared" si="12"/>
        <v>July</v>
      </c>
      <c r="E293" t="str">
        <f t="shared" si="13"/>
        <v>Monday</v>
      </c>
      <c r="F293" s="4">
        <v>0.29375000000000001</v>
      </c>
      <c r="G293" s="4" t="str">
        <f t="shared" si="14"/>
        <v>7:00 AM – 8:00 AM</v>
      </c>
      <c r="H293">
        <v>332</v>
      </c>
      <c r="I293">
        <v>571</v>
      </c>
      <c r="J293">
        <v>8</v>
      </c>
      <c r="K293">
        <v>70</v>
      </c>
      <c r="L293">
        <v>1</v>
      </c>
      <c r="M293">
        <v>1</v>
      </c>
      <c r="N293">
        <v>1</v>
      </c>
      <c r="O293">
        <v>73</v>
      </c>
      <c r="P293">
        <v>0</v>
      </c>
    </row>
    <row r="294" spans="1:16" x14ac:dyDescent="0.3">
      <c r="A294" s="3" t="s">
        <v>269</v>
      </c>
      <c r="B294" s="3">
        <v>45455</v>
      </c>
      <c r="C294">
        <v>2024</v>
      </c>
      <c r="D294" t="str">
        <f t="shared" si="12"/>
        <v>June</v>
      </c>
      <c r="E294" t="str">
        <f t="shared" si="13"/>
        <v>Wednesday</v>
      </c>
      <c r="F294" s="4">
        <v>0.27986111111111112</v>
      </c>
      <c r="G294" s="4" t="str">
        <f t="shared" si="14"/>
        <v>6:00 AM – 7:00 AM</v>
      </c>
      <c r="H294">
        <v>299</v>
      </c>
      <c r="I294">
        <v>518</v>
      </c>
      <c r="J294">
        <v>8</v>
      </c>
      <c r="K294">
        <v>81</v>
      </c>
      <c r="L294">
        <v>1</v>
      </c>
      <c r="M294">
        <v>4</v>
      </c>
      <c r="N294">
        <v>2</v>
      </c>
      <c r="O294">
        <v>90</v>
      </c>
      <c r="P294">
        <v>1</v>
      </c>
    </row>
    <row r="295" spans="1:16" x14ac:dyDescent="0.3">
      <c r="A295" s="3" t="s">
        <v>336</v>
      </c>
      <c r="B295" s="3">
        <v>45388</v>
      </c>
      <c r="C295">
        <v>2024</v>
      </c>
      <c r="D295" t="str">
        <f t="shared" si="12"/>
        <v>April</v>
      </c>
      <c r="E295" t="str">
        <f t="shared" si="13"/>
        <v>Saturday</v>
      </c>
      <c r="F295" s="4">
        <v>0.38124999999999998</v>
      </c>
      <c r="G295" s="4" t="str">
        <f t="shared" si="14"/>
        <v>9:00 AM – 10:00 AM</v>
      </c>
      <c r="H295">
        <v>232</v>
      </c>
      <c r="I295">
        <v>344</v>
      </c>
      <c r="J295">
        <v>8</v>
      </c>
      <c r="K295">
        <v>146</v>
      </c>
      <c r="L295">
        <v>2</v>
      </c>
      <c r="M295">
        <v>8</v>
      </c>
      <c r="N295">
        <v>0</v>
      </c>
      <c r="O295">
        <v>147</v>
      </c>
      <c r="P295">
        <v>15</v>
      </c>
    </row>
    <row r="296" spans="1:16" x14ac:dyDescent="0.3">
      <c r="A296" s="3" t="s">
        <v>363</v>
      </c>
      <c r="B296" s="3">
        <v>45362</v>
      </c>
      <c r="C296">
        <v>2024</v>
      </c>
      <c r="D296" t="str">
        <f t="shared" si="12"/>
        <v>March</v>
      </c>
      <c r="E296" t="str">
        <f t="shared" si="13"/>
        <v>Monday</v>
      </c>
      <c r="F296" s="4">
        <v>0.19583333333333333</v>
      </c>
      <c r="G296" s="4" t="str">
        <f t="shared" si="14"/>
        <v>4:00 AM – 5:00 AM</v>
      </c>
      <c r="H296">
        <v>205</v>
      </c>
      <c r="I296">
        <v>137</v>
      </c>
      <c r="J296">
        <v>8</v>
      </c>
      <c r="K296">
        <v>141</v>
      </c>
      <c r="L296">
        <v>1</v>
      </c>
      <c r="M296">
        <v>2</v>
      </c>
      <c r="N296">
        <v>2</v>
      </c>
      <c r="O296">
        <v>141</v>
      </c>
      <c r="P296">
        <v>1</v>
      </c>
    </row>
    <row r="297" spans="1:16" x14ac:dyDescent="0.3">
      <c r="A297" s="3" t="s">
        <v>401</v>
      </c>
      <c r="B297" s="3">
        <v>45324</v>
      </c>
      <c r="C297">
        <v>2024</v>
      </c>
      <c r="D297" t="str">
        <f t="shared" si="12"/>
        <v>February</v>
      </c>
      <c r="E297" t="str">
        <f t="shared" si="13"/>
        <v>Friday</v>
      </c>
      <c r="F297" s="4">
        <v>0.15694444444444444</v>
      </c>
      <c r="G297" s="4" t="str">
        <f t="shared" si="14"/>
        <v>3:00 AM – 4:00 AM</v>
      </c>
      <c r="H297">
        <v>167</v>
      </c>
      <c r="I297">
        <v>121</v>
      </c>
      <c r="J297">
        <v>8</v>
      </c>
      <c r="K297">
        <v>53</v>
      </c>
      <c r="L297">
        <v>1</v>
      </c>
      <c r="M297">
        <v>0</v>
      </c>
      <c r="N297">
        <v>0</v>
      </c>
      <c r="O297">
        <v>49</v>
      </c>
      <c r="P297">
        <v>-1</v>
      </c>
    </row>
    <row r="298" spans="1:16" x14ac:dyDescent="0.3">
      <c r="A298" s="3" t="s">
        <v>403</v>
      </c>
      <c r="B298" s="3">
        <v>45322</v>
      </c>
      <c r="C298">
        <v>2024</v>
      </c>
      <c r="D298" t="str">
        <f t="shared" si="12"/>
        <v>January</v>
      </c>
      <c r="E298" t="str">
        <f t="shared" si="13"/>
        <v>Wednesday</v>
      </c>
      <c r="F298" s="4">
        <v>0.11805555555555555</v>
      </c>
      <c r="G298" s="4" t="str">
        <f t="shared" si="14"/>
        <v>2:00 AM – 3:00 AM</v>
      </c>
      <c r="H298">
        <v>165</v>
      </c>
      <c r="I298">
        <v>121</v>
      </c>
      <c r="J298">
        <v>8</v>
      </c>
      <c r="K298">
        <v>82</v>
      </c>
      <c r="L298">
        <v>1</v>
      </c>
      <c r="M298">
        <v>0</v>
      </c>
      <c r="N298">
        <v>0</v>
      </c>
      <c r="O298">
        <v>75</v>
      </c>
      <c r="P298">
        <v>0</v>
      </c>
    </row>
    <row r="299" spans="1:16" x14ac:dyDescent="0.3">
      <c r="A299" s="3" t="s">
        <v>14</v>
      </c>
      <c r="B299" s="3">
        <v>45710</v>
      </c>
      <c r="C299">
        <v>2025</v>
      </c>
      <c r="D299" t="str">
        <f t="shared" si="12"/>
        <v>February</v>
      </c>
      <c r="E299" t="str">
        <f t="shared" si="13"/>
        <v>Saturday</v>
      </c>
      <c r="F299" s="4">
        <v>0.31111111111111112</v>
      </c>
      <c r="G299" s="4" t="str">
        <f t="shared" si="14"/>
        <v>7:00 AM – 8:00 AM</v>
      </c>
      <c r="H299">
        <v>554</v>
      </c>
      <c r="I299">
        <v>1289</v>
      </c>
      <c r="J299">
        <v>7</v>
      </c>
      <c r="K299">
        <v>125</v>
      </c>
      <c r="L299">
        <v>2</v>
      </c>
      <c r="M299">
        <v>2</v>
      </c>
      <c r="N299">
        <v>2</v>
      </c>
      <c r="O299">
        <v>129</v>
      </c>
      <c r="P299">
        <v>0</v>
      </c>
    </row>
    <row r="300" spans="1:16" x14ac:dyDescent="0.3">
      <c r="A300" s="3" t="s">
        <v>29</v>
      </c>
      <c r="B300" s="3">
        <v>45695</v>
      </c>
      <c r="C300">
        <v>2025</v>
      </c>
      <c r="D300" t="str">
        <f t="shared" si="12"/>
        <v>February</v>
      </c>
      <c r="E300" t="str">
        <f t="shared" si="13"/>
        <v>Friday</v>
      </c>
      <c r="F300" s="4">
        <v>0.65069444444444446</v>
      </c>
      <c r="G300" s="4" t="str">
        <f t="shared" si="14"/>
        <v>3:00 PM – 4:00 PM</v>
      </c>
      <c r="H300">
        <v>539</v>
      </c>
      <c r="I300">
        <v>1295</v>
      </c>
      <c r="J300">
        <v>7</v>
      </c>
      <c r="K300">
        <v>45</v>
      </c>
      <c r="L300">
        <v>1</v>
      </c>
      <c r="M300">
        <v>0</v>
      </c>
      <c r="N300">
        <v>2</v>
      </c>
      <c r="O300">
        <v>46</v>
      </c>
      <c r="P300">
        <v>0</v>
      </c>
    </row>
    <row r="301" spans="1:16" x14ac:dyDescent="0.3">
      <c r="A301" s="3" t="s">
        <v>52</v>
      </c>
      <c r="B301" s="3">
        <v>45672</v>
      </c>
      <c r="C301">
        <v>2025</v>
      </c>
      <c r="D301" t="str">
        <f t="shared" si="12"/>
        <v>January</v>
      </c>
      <c r="E301" t="str">
        <f t="shared" si="13"/>
        <v>Wednesday</v>
      </c>
      <c r="F301" s="4">
        <v>0.59097222222222223</v>
      </c>
      <c r="G301" s="4" t="str">
        <f t="shared" si="14"/>
        <v>2:00 PM – 3:00 PM</v>
      </c>
      <c r="H301">
        <v>516</v>
      </c>
      <c r="I301">
        <v>1274</v>
      </c>
      <c r="J301">
        <v>7</v>
      </c>
      <c r="K301">
        <v>163</v>
      </c>
      <c r="L301">
        <v>1</v>
      </c>
      <c r="M301">
        <v>0</v>
      </c>
      <c r="N301">
        <v>1</v>
      </c>
      <c r="O301">
        <v>162</v>
      </c>
      <c r="P301">
        <v>0</v>
      </c>
    </row>
    <row r="302" spans="1:16" x14ac:dyDescent="0.3">
      <c r="A302" s="3" t="s">
        <v>69</v>
      </c>
      <c r="B302" s="3">
        <v>45655</v>
      </c>
      <c r="C302">
        <v>2024</v>
      </c>
      <c r="D302" t="str">
        <f t="shared" si="12"/>
        <v>December</v>
      </c>
      <c r="E302" t="str">
        <f t="shared" si="13"/>
        <v>Sunday</v>
      </c>
      <c r="F302" s="4">
        <v>0.59722222222222221</v>
      </c>
      <c r="G302" s="4" t="str">
        <f t="shared" si="14"/>
        <v>2:00 PM – 3:00 PM</v>
      </c>
      <c r="H302">
        <v>499</v>
      </c>
      <c r="I302">
        <v>824</v>
      </c>
      <c r="J302">
        <v>7</v>
      </c>
      <c r="K302">
        <v>1505</v>
      </c>
      <c r="L302">
        <v>1</v>
      </c>
      <c r="M302">
        <v>3</v>
      </c>
      <c r="N302">
        <v>2</v>
      </c>
      <c r="O302">
        <v>1501</v>
      </c>
      <c r="P302">
        <v>4</v>
      </c>
    </row>
    <row r="303" spans="1:16" x14ac:dyDescent="0.3">
      <c r="A303" s="3" t="s">
        <v>74</v>
      </c>
      <c r="B303" s="3">
        <v>45650</v>
      </c>
      <c r="C303">
        <v>2024</v>
      </c>
      <c r="D303" t="str">
        <f t="shared" si="12"/>
        <v>December</v>
      </c>
      <c r="E303" t="str">
        <f t="shared" si="13"/>
        <v>Tuesday</v>
      </c>
      <c r="F303" s="4">
        <v>0.54236111111111107</v>
      </c>
      <c r="G303" s="4" t="str">
        <f t="shared" si="14"/>
        <v>1:00 PM – 2:00 PM</v>
      </c>
      <c r="H303">
        <v>494</v>
      </c>
      <c r="I303">
        <v>793</v>
      </c>
      <c r="J303">
        <v>7</v>
      </c>
      <c r="K303">
        <v>982</v>
      </c>
      <c r="L303">
        <v>1</v>
      </c>
      <c r="M303">
        <v>1</v>
      </c>
      <c r="N303">
        <v>1</v>
      </c>
      <c r="O303">
        <v>988</v>
      </c>
      <c r="P303">
        <v>1</v>
      </c>
    </row>
    <row r="304" spans="1:16" x14ac:dyDescent="0.3">
      <c r="A304" s="3" t="s">
        <v>105</v>
      </c>
      <c r="B304" s="3">
        <v>45619</v>
      </c>
      <c r="C304">
        <v>2024</v>
      </c>
      <c r="D304" t="str">
        <f t="shared" si="12"/>
        <v>November</v>
      </c>
      <c r="E304" t="str">
        <f t="shared" si="13"/>
        <v>Saturday</v>
      </c>
      <c r="F304" s="4">
        <v>0.58402777777777781</v>
      </c>
      <c r="G304" s="4" t="str">
        <f t="shared" si="14"/>
        <v>2:00 PM – 3:00 PM</v>
      </c>
      <c r="H304">
        <v>463</v>
      </c>
      <c r="I304">
        <v>775</v>
      </c>
      <c r="J304">
        <v>7</v>
      </c>
      <c r="K304">
        <v>260</v>
      </c>
      <c r="L304">
        <v>1</v>
      </c>
      <c r="M304">
        <v>0</v>
      </c>
      <c r="N304">
        <v>0</v>
      </c>
      <c r="O304">
        <v>256</v>
      </c>
      <c r="P304">
        <v>0</v>
      </c>
    </row>
    <row r="305" spans="1:16" x14ac:dyDescent="0.3">
      <c r="A305" s="3" t="s">
        <v>150</v>
      </c>
      <c r="B305" s="3">
        <v>45574</v>
      </c>
      <c r="C305">
        <v>2024</v>
      </c>
      <c r="D305" t="str">
        <f t="shared" si="12"/>
        <v>October</v>
      </c>
      <c r="E305" t="str">
        <f t="shared" si="13"/>
        <v>Wednesday</v>
      </c>
      <c r="F305" s="4">
        <v>0.30277777777777776</v>
      </c>
      <c r="G305" s="4" t="str">
        <f t="shared" si="14"/>
        <v>7:00 AM – 8:00 AM</v>
      </c>
      <c r="H305">
        <v>418</v>
      </c>
      <c r="I305">
        <v>731</v>
      </c>
      <c r="J305">
        <v>7</v>
      </c>
      <c r="K305">
        <v>281</v>
      </c>
      <c r="L305">
        <v>4</v>
      </c>
      <c r="M305">
        <v>2</v>
      </c>
      <c r="N305">
        <v>0</v>
      </c>
      <c r="O305">
        <v>280</v>
      </c>
      <c r="P305">
        <v>9</v>
      </c>
    </row>
    <row r="306" spans="1:16" x14ac:dyDescent="0.3">
      <c r="A306" s="3" t="s">
        <v>179</v>
      </c>
      <c r="B306" s="3">
        <v>45545</v>
      </c>
      <c r="C306">
        <v>2024</v>
      </c>
      <c r="D306" t="str">
        <f t="shared" si="12"/>
        <v>September</v>
      </c>
      <c r="E306" t="str">
        <f t="shared" si="13"/>
        <v>Tuesday</v>
      </c>
      <c r="F306" s="4">
        <v>0.29930555555555555</v>
      </c>
      <c r="G306" s="4" t="str">
        <f t="shared" si="14"/>
        <v>7:00 AM – 8:00 AM</v>
      </c>
      <c r="H306">
        <v>389</v>
      </c>
      <c r="I306">
        <v>631</v>
      </c>
      <c r="J306">
        <v>7</v>
      </c>
      <c r="K306">
        <v>281</v>
      </c>
      <c r="L306">
        <v>1</v>
      </c>
      <c r="M306">
        <v>1</v>
      </c>
      <c r="N306">
        <v>3</v>
      </c>
      <c r="O306">
        <v>289</v>
      </c>
      <c r="P306">
        <v>4</v>
      </c>
    </row>
    <row r="307" spans="1:16" x14ac:dyDescent="0.3">
      <c r="A307" s="3" t="s">
        <v>187</v>
      </c>
      <c r="B307" s="3">
        <v>45537</v>
      </c>
      <c r="C307">
        <v>2024</v>
      </c>
      <c r="D307" t="str">
        <f t="shared" si="12"/>
        <v>September</v>
      </c>
      <c r="E307" t="str">
        <f t="shared" si="13"/>
        <v>Monday</v>
      </c>
      <c r="F307" s="4">
        <v>0.37569444444444444</v>
      </c>
      <c r="G307" s="4" t="str">
        <f t="shared" si="14"/>
        <v>9:00 AM – 10:00 AM</v>
      </c>
      <c r="H307">
        <v>381</v>
      </c>
      <c r="I307">
        <v>597</v>
      </c>
      <c r="J307">
        <v>7</v>
      </c>
      <c r="K307">
        <v>82</v>
      </c>
      <c r="L307">
        <v>1</v>
      </c>
      <c r="M307">
        <v>1</v>
      </c>
      <c r="N307">
        <v>1</v>
      </c>
      <c r="O307">
        <v>83</v>
      </c>
      <c r="P307">
        <v>0</v>
      </c>
    </row>
    <row r="308" spans="1:16" x14ac:dyDescent="0.3">
      <c r="A308" s="3" t="s">
        <v>220</v>
      </c>
      <c r="B308" s="3">
        <v>45504</v>
      </c>
      <c r="C308">
        <v>2024</v>
      </c>
      <c r="D308" t="str">
        <f t="shared" si="12"/>
        <v>July</v>
      </c>
      <c r="E308" t="str">
        <f t="shared" si="13"/>
        <v>Wednesday</v>
      </c>
      <c r="F308" s="4">
        <v>0.27916666666666667</v>
      </c>
      <c r="G308" s="4" t="str">
        <f t="shared" si="14"/>
        <v>6:00 AM – 7:00 AM</v>
      </c>
      <c r="H308">
        <v>348</v>
      </c>
      <c r="I308">
        <v>566</v>
      </c>
      <c r="J308">
        <v>7</v>
      </c>
      <c r="K308">
        <v>151</v>
      </c>
      <c r="L308">
        <v>1</v>
      </c>
      <c r="M308">
        <v>2</v>
      </c>
      <c r="N308">
        <v>2</v>
      </c>
      <c r="O308">
        <v>179</v>
      </c>
      <c r="P308">
        <v>-1</v>
      </c>
    </row>
    <row r="309" spans="1:16" x14ac:dyDescent="0.3">
      <c r="A309" s="3" t="s">
        <v>234</v>
      </c>
      <c r="B309" s="3">
        <v>45490</v>
      </c>
      <c r="C309">
        <v>2024</v>
      </c>
      <c r="D309" t="str">
        <f t="shared" si="12"/>
        <v>July</v>
      </c>
      <c r="E309" t="str">
        <f t="shared" si="13"/>
        <v>Wednesday</v>
      </c>
      <c r="F309" s="4">
        <v>0.29097222222222224</v>
      </c>
      <c r="G309" s="4" t="str">
        <f t="shared" si="14"/>
        <v>6:00 AM – 7:00 AM</v>
      </c>
      <c r="H309">
        <v>334</v>
      </c>
      <c r="I309">
        <v>569</v>
      </c>
      <c r="J309">
        <v>7</v>
      </c>
      <c r="K309">
        <v>67</v>
      </c>
      <c r="L309">
        <v>1</v>
      </c>
      <c r="M309">
        <v>0</v>
      </c>
      <c r="N309">
        <v>1</v>
      </c>
      <c r="O309">
        <v>63</v>
      </c>
      <c r="P309">
        <v>0</v>
      </c>
    </row>
    <row r="310" spans="1:16" x14ac:dyDescent="0.3">
      <c r="A310" s="3" t="s">
        <v>235</v>
      </c>
      <c r="B310" s="3">
        <v>45489</v>
      </c>
      <c r="C310">
        <v>2024</v>
      </c>
      <c r="D310" t="str">
        <f t="shared" si="12"/>
        <v>July</v>
      </c>
      <c r="E310" t="str">
        <f t="shared" si="13"/>
        <v>Tuesday</v>
      </c>
      <c r="F310" s="4">
        <v>0.31527777777777777</v>
      </c>
      <c r="G310" s="4" t="str">
        <f t="shared" si="14"/>
        <v>7:00 AM – 8:00 AM</v>
      </c>
      <c r="H310">
        <v>333</v>
      </c>
      <c r="I310">
        <v>569</v>
      </c>
      <c r="J310">
        <v>7</v>
      </c>
      <c r="K310">
        <v>79</v>
      </c>
      <c r="L310">
        <v>1</v>
      </c>
      <c r="M310">
        <v>6</v>
      </c>
      <c r="N310">
        <v>3</v>
      </c>
      <c r="O310">
        <v>96</v>
      </c>
      <c r="P310">
        <v>-2</v>
      </c>
    </row>
    <row r="311" spans="1:16" x14ac:dyDescent="0.3">
      <c r="A311" s="3" t="s">
        <v>254</v>
      </c>
      <c r="B311" s="3">
        <v>45470</v>
      </c>
      <c r="C311">
        <v>2024</v>
      </c>
      <c r="D311" t="str">
        <f t="shared" si="12"/>
        <v>June</v>
      </c>
      <c r="E311" t="str">
        <f t="shared" si="13"/>
        <v>Thursday</v>
      </c>
      <c r="F311" s="4">
        <v>0.28194444444444444</v>
      </c>
      <c r="G311" s="4" t="str">
        <f t="shared" si="14"/>
        <v>6:00 AM – 7:00 AM</v>
      </c>
      <c r="H311">
        <v>314</v>
      </c>
      <c r="I311">
        <v>522</v>
      </c>
      <c r="J311">
        <v>7</v>
      </c>
      <c r="K311">
        <v>149</v>
      </c>
      <c r="L311">
        <v>1</v>
      </c>
      <c r="M311">
        <v>1</v>
      </c>
      <c r="N311">
        <v>2</v>
      </c>
      <c r="O311">
        <v>179</v>
      </c>
      <c r="P311">
        <v>-2</v>
      </c>
    </row>
    <row r="312" spans="1:16" x14ac:dyDescent="0.3">
      <c r="A312" s="3" t="s">
        <v>274</v>
      </c>
      <c r="B312" s="3">
        <v>45450</v>
      </c>
      <c r="C312">
        <v>2024</v>
      </c>
      <c r="D312" t="str">
        <f t="shared" si="12"/>
        <v>June</v>
      </c>
      <c r="E312" t="str">
        <f t="shared" si="13"/>
        <v>Friday</v>
      </c>
      <c r="F312" s="4">
        <v>0.32013888888888886</v>
      </c>
      <c r="G312" s="4" t="str">
        <f t="shared" si="14"/>
        <v>7:00 AM – 8:00 AM</v>
      </c>
      <c r="H312">
        <v>294</v>
      </c>
      <c r="I312">
        <v>513</v>
      </c>
      <c r="J312">
        <v>7</v>
      </c>
      <c r="K312">
        <v>63</v>
      </c>
      <c r="L312">
        <v>1</v>
      </c>
      <c r="M312">
        <v>1</v>
      </c>
      <c r="N312">
        <v>0</v>
      </c>
      <c r="O312">
        <v>73</v>
      </c>
      <c r="P312">
        <v>-1</v>
      </c>
    </row>
    <row r="313" spans="1:16" x14ac:dyDescent="0.3">
      <c r="A313" s="3" t="s">
        <v>285</v>
      </c>
      <c r="B313" s="3">
        <v>45439</v>
      </c>
      <c r="C313">
        <v>2024</v>
      </c>
      <c r="D313" t="str">
        <f t="shared" si="12"/>
        <v>May</v>
      </c>
      <c r="E313" t="str">
        <f t="shared" si="13"/>
        <v>Monday</v>
      </c>
      <c r="F313" s="4">
        <v>0.26666666666666666</v>
      </c>
      <c r="G313" s="4" t="str">
        <f t="shared" si="14"/>
        <v>6:00 AM – 7:00 AM</v>
      </c>
      <c r="H313">
        <v>283</v>
      </c>
      <c r="I313">
        <v>509</v>
      </c>
      <c r="J313">
        <v>7</v>
      </c>
      <c r="K313">
        <v>84</v>
      </c>
      <c r="L313">
        <v>2</v>
      </c>
      <c r="M313">
        <v>0</v>
      </c>
      <c r="N313">
        <v>0</v>
      </c>
      <c r="O313">
        <v>93</v>
      </c>
      <c r="P313">
        <v>2</v>
      </c>
    </row>
    <row r="314" spans="1:16" x14ac:dyDescent="0.3">
      <c r="A314" s="3" t="s">
        <v>289</v>
      </c>
      <c r="B314" s="3">
        <v>45435</v>
      </c>
      <c r="C314">
        <v>2024</v>
      </c>
      <c r="D314" t="str">
        <f t="shared" si="12"/>
        <v>May</v>
      </c>
      <c r="E314" t="str">
        <f t="shared" si="13"/>
        <v>Thursday</v>
      </c>
      <c r="F314" s="4">
        <v>0.33541666666666664</v>
      </c>
      <c r="G314" s="4" t="str">
        <f t="shared" si="14"/>
        <v>8:00 AM – 9:00 AM</v>
      </c>
      <c r="H314">
        <v>279</v>
      </c>
      <c r="I314">
        <v>503</v>
      </c>
      <c r="J314">
        <v>7</v>
      </c>
      <c r="K314">
        <v>280</v>
      </c>
      <c r="L314">
        <v>1</v>
      </c>
      <c r="M314">
        <v>4</v>
      </c>
      <c r="N314">
        <v>1</v>
      </c>
      <c r="O314">
        <v>322</v>
      </c>
      <c r="P314">
        <v>-1</v>
      </c>
    </row>
    <row r="315" spans="1:16" x14ac:dyDescent="0.3">
      <c r="A315" s="3" t="s">
        <v>300</v>
      </c>
      <c r="B315" s="3">
        <v>45424</v>
      </c>
      <c r="C315">
        <v>2024</v>
      </c>
      <c r="D315" t="str">
        <f t="shared" si="12"/>
        <v>May</v>
      </c>
      <c r="E315" t="str">
        <f t="shared" si="13"/>
        <v>Sunday</v>
      </c>
      <c r="F315" s="4">
        <v>0.28888888888888886</v>
      </c>
      <c r="G315" s="4" t="str">
        <f t="shared" si="14"/>
        <v>6:00 AM – 7:00 AM</v>
      </c>
      <c r="H315">
        <v>268</v>
      </c>
      <c r="I315">
        <v>490</v>
      </c>
      <c r="J315">
        <v>7</v>
      </c>
      <c r="K315">
        <v>110</v>
      </c>
      <c r="L315">
        <v>1</v>
      </c>
      <c r="M315">
        <v>0</v>
      </c>
      <c r="N315">
        <v>3</v>
      </c>
      <c r="O315">
        <v>117</v>
      </c>
      <c r="P315">
        <v>3</v>
      </c>
    </row>
    <row r="316" spans="1:16" x14ac:dyDescent="0.3">
      <c r="A316" s="3" t="s">
        <v>311</v>
      </c>
      <c r="B316" s="3">
        <v>45413</v>
      </c>
      <c r="C316">
        <v>2024</v>
      </c>
      <c r="D316" t="str">
        <f t="shared" si="12"/>
        <v>May</v>
      </c>
      <c r="E316" t="str">
        <f t="shared" si="13"/>
        <v>Wednesday</v>
      </c>
      <c r="F316" s="4">
        <v>0.2722222222222222</v>
      </c>
      <c r="G316" s="4" t="str">
        <f t="shared" si="14"/>
        <v>6:00 AM – 7:00 AM</v>
      </c>
      <c r="H316">
        <v>257</v>
      </c>
      <c r="I316">
        <v>468</v>
      </c>
      <c r="J316">
        <v>7</v>
      </c>
      <c r="K316">
        <v>137</v>
      </c>
      <c r="L316">
        <v>2</v>
      </c>
      <c r="M316">
        <v>1</v>
      </c>
      <c r="N316">
        <v>1</v>
      </c>
      <c r="O316">
        <v>154</v>
      </c>
      <c r="P316">
        <v>3</v>
      </c>
    </row>
    <row r="317" spans="1:16" x14ac:dyDescent="0.3">
      <c r="A317" s="3" t="s">
        <v>335</v>
      </c>
      <c r="B317" s="3">
        <v>45389</v>
      </c>
      <c r="C317">
        <v>2024</v>
      </c>
      <c r="D317" t="str">
        <f t="shared" si="12"/>
        <v>April</v>
      </c>
      <c r="E317" t="str">
        <f t="shared" si="13"/>
        <v>Sunday</v>
      </c>
      <c r="F317" s="4">
        <v>0.21458333333333332</v>
      </c>
      <c r="G317" s="4" t="str">
        <f t="shared" si="14"/>
        <v>5:00 AM – 6:00 AM</v>
      </c>
      <c r="H317">
        <v>233</v>
      </c>
      <c r="I317">
        <v>350</v>
      </c>
      <c r="J317">
        <v>7</v>
      </c>
      <c r="K317">
        <v>182</v>
      </c>
      <c r="L317">
        <v>1</v>
      </c>
      <c r="M317">
        <v>0</v>
      </c>
      <c r="N317">
        <v>0</v>
      </c>
      <c r="O317">
        <v>178</v>
      </c>
      <c r="P317">
        <v>6</v>
      </c>
    </row>
    <row r="318" spans="1:16" x14ac:dyDescent="0.3">
      <c r="A318" s="3" t="s">
        <v>360</v>
      </c>
      <c r="B318" s="3">
        <v>45365</v>
      </c>
      <c r="C318">
        <v>2024</v>
      </c>
      <c r="D318" t="str">
        <f t="shared" si="12"/>
        <v>March</v>
      </c>
      <c r="E318" t="str">
        <f t="shared" si="13"/>
        <v>Thursday</v>
      </c>
      <c r="F318" s="4">
        <v>0.19513888888888889</v>
      </c>
      <c r="G318" s="4" t="str">
        <f t="shared" si="14"/>
        <v>4:00 AM – 5:00 AM</v>
      </c>
      <c r="H318">
        <v>208</v>
      </c>
      <c r="I318">
        <v>141</v>
      </c>
      <c r="J318">
        <v>7</v>
      </c>
      <c r="K318">
        <v>295</v>
      </c>
      <c r="L318">
        <v>1</v>
      </c>
      <c r="M318">
        <v>0</v>
      </c>
      <c r="N318">
        <v>1</v>
      </c>
      <c r="O318">
        <v>293</v>
      </c>
      <c r="P318">
        <v>2</v>
      </c>
    </row>
    <row r="319" spans="1:16" x14ac:dyDescent="0.3">
      <c r="A319" s="3" t="s">
        <v>364</v>
      </c>
      <c r="B319" s="3">
        <v>45361</v>
      </c>
      <c r="C319">
        <v>2024</v>
      </c>
      <c r="D319" t="str">
        <f t="shared" si="12"/>
        <v>March</v>
      </c>
      <c r="E319" t="str">
        <f t="shared" si="13"/>
        <v>Sunday</v>
      </c>
      <c r="F319" s="4">
        <v>0.21111111111111111</v>
      </c>
      <c r="G319" s="4" t="str">
        <f t="shared" si="14"/>
        <v>5:00 AM – 6:00 AM</v>
      </c>
      <c r="H319">
        <v>204</v>
      </c>
      <c r="I319">
        <v>136</v>
      </c>
      <c r="J319">
        <v>7</v>
      </c>
      <c r="K319">
        <v>126</v>
      </c>
      <c r="L319">
        <v>1</v>
      </c>
      <c r="M319">
        <v>14</v>
      </c>
      <c r="N319">
        <v>0</v>
      </c>
      <c r="O319">
        <v>127</v>
      </c>
      <c r="P319">
        <v>1</v>
      </c>
    </row>
    <row r="320" spans="1:16" x14ac:dyDescent="0.3">
      <c r="A320" s="3" t="s">
        <v>396</v>
      </c>
      <c r="B320" s="3">
        <v>45329</v>
      </c>
      <c r="C320">
        <v>2024</v>
      </c>
      <c r="D320" t="str">
        <f t="shared" si="12"/>
        <v>February</v>
      </c>
      <c r="E320" t="str">
        <f t="shared" si="13"/>
        <v>Wednesday</v>
      </c>
      <c r="F320" s="4">
        <v>0.11180555555555556</v>
      </c>
      <c r="G320" s="4" t="str">
        <f t="shared" si="14"/>
        <v>2:00 AM – 3:00 AM</v>
      </c>
      <c r="H320">
        <v>172</v>
      </c>
      <c r="I320">
        <v>123</v>
      </c>
      <c r="J320">
        <v>7</v>
      </c>
      <c r="K320">
        <v>54</v>
      </c>
      <c r="L320">
        <v>1</v>
      </c>
      <c r="M320">
        <v>0</v>
      </c>
      <c r="N320">
        <v>0</v>
      </c>
      <c r="O320">
        <v>56</v>
      </c>
      <c r="P320">
        <v>1</v>
      </c>
    </row>
    <row r="321" spans="1:16" x14ac:dyDescent="0.3">
      <c r="A321" s="3" t="s">
        <v>399</v>
      </c>
      <c r="B321" s="3">
        <v>45326</v>
      </c>
      <c r="C321">
        <v>2024</v>
      </c>
      <c r="D321" t="str">
        <f t="shared" si="12"/>
        <v>February</v>
      </c>
      <c r="E321" t="str">
        <f t="shared" si="13"/>
        <v>Sunday</v>
      </c>
      <c r="F321" s="4">
        <v>0.11874999999999999</v>
      </c>
      <c r="G321" s="4" t="str">
        <f t="shared" si="14"/>
        <v>2:00 AM – 3:00 AM</v>
      </c>
      <c r="H321">
        <v>169</v>
      </c>
      <c r="I321">
        <v>122</v>
      </c>
      <c r="J321">
        <v>7</v>
      </c>
      <c r="K321">
        <v>50</v>
      </c>
      <c r="L321">
        <v>1</v>
      </c>
      <c r="M321">
        <v>0</v>
      </c>
      <c r="N321">
        <v>0</v>
      </c>
      <c r="O321">
        <v>50</v>
      </c>
      <c r="P321">
        <v>0</v>
      </c>
    </row>
    <row r="322" spans="1:16" x14ac:dyDescent="0.3">
      <c r="A322" s="3" t="s">
        <v>428</v>
      </c>
      <c r="B322" s="3">
        <v>45297</v>
      </c>
      <c r="C322">
        <v>2024</v>
      </c>
      <c r="D322" t="str">
        <f t="shared" ref="D322:D385" si="15">TEXT(B322,"MMMM")</f>
        <v>January</v>
      </c>
      <c r="E322" t="str">
        <f t="shared" ref="E322:E385" si="16">TEXT(B322,"dddd")</f>
        <v>Saturday</v>
      </c>
      <c r="F322" s="4">
        <v>0.34027777777777779</v>
      </c>
      <c r="G322" s="4" t="str">
        <f t="shared" ref="G322:G385" si="17">TEXT(FLOOR(F322,"1:00"),"h:mm AM/PM") &amp; " – " &amp; TEXT(FLOOR(F322,"1:00") + TIME(1,0,0),"h:mm AM/PM")</f>
        <v>8:00 AM – 9:00 AM</v>
      </c>
      <c r="H322">
        <v>140</v>
      </c>
      <c r="I322">
        <v>63</v>
      </c>
      <c r="J322">
        <v>7</v>
      </c>
      <c r="K322">
        <v>90</v>
      </c>
      <c r="L322">
        <v>1</v>
      </c>
      <c r="M322">
        <v>5</v>
      </c>
      <c r="N322">
        <v>0</v>
      </c>
      <c r="O322">
        <v>94</v>
      </c>
      <c r="P322">
        <v>3</v>
      </c>
    </row>
    <row r="323" spans="1:16" x14ac:dyDescent="0.3">
      <c r="A323" s="3" t="s">
        <v>36</v>
      </c>
      <c r="B323" s="3">
        <v>45688</v>
      </c>
      <c r="C323">
        <v>2025</v>
      </c>
      <c r="D323" t="str">
        <f t="shared" si="15"/>
        <v>January</v>
      </c>
      <c r="E323" t="str">
        <f t="shared" si="16"/>
        <v>Friday</v>
      </c>
      <c r="F323" s="4">
        <v>0.62916666666666665</v>
      </c>
      <c r="G323" s="4" t="str">
        <f t="shared" si="17"/>
        <v>3:00 PM – 4:00 PM</v>
      </c>
      <c r="H323">
        <v>532</v>
      </c>
      <c r="I323">
        <v>1295</v>
      </c>
      <c r="J323">
        <v>6</v>
      </c>
      <c r="K323">
        <v>169</v>
      </c>
      <c r="L323">
        <v>1</v>
      </c>
      <c r="M323">
        <v>3</v>
      </c>
      <c r="N323">
        <v>0</v>
      </c>
      <c r="O323">
        <v>167</v>
      </c>
      <c r="P323">
        <v>-1</v>
      </c>
    </row>
    <row r="324" spans="1:16" x14ac:dyDescent="0.3">
      <c r="A324" s="3" t="s">
        <v>58</v>
      </c>
      <c r="B324" s="3">
        <v>45666</v>
      </c>
      <c r="C324">
        <v>2025</v>
      </c>
      <c r="D324" t="str">
        <f t="shared" si="15"/>
        <v>January</v>
      </c>
      <c r="E324" t="str">
        <f t="shared" si="16"/>
        <v>Thursday</v>
      </c>
      <c r="F324" s="4">
        <v>0.86250000000000004</v>
      </c>
      <c r="G324" s="4" t="str">
        <f t="shared" si="17"/>
        <v>8:00 PM – 9:00 PM</v>
      </c>
      <c r="H324">
        <v>510</v>
      </c>
      <c r="I324">
        <v>1279</v>
      </c>
      <c r="J324">
        <v>6</v>
      </c>
      <c r="K324">
        <v>181</v>
      </c>
      <c r="L324">
        <v>1</v>
      </c>
      <c r="M324">
        <v>1</v>
      </c>
      <c r="N324">
        <v>2</v>
      </c>
      <c r="O324">
        <v>182</v>
      </c>
      <c r="P324">
        <v>10</v>
      </c>
    </row>
    <row r="325" spans="1:16" x14ac:dyDescent="0.3">
      <c r="A325" s="3" t="s">
        <v>85</v>
      </c>
      <c r="B325" s="3">
        <v>45639</v>
      </c>
      <c r="C325">
        <v>2024</v>
      </c>
      <c r="D325" t="str">
        <f t="shared" si="15"/>
        <v>December</v>
      </c>
      <c r="E325" t="str">
        <f t="shared" si="16"/>
        <v>Friday</v>
      </c>
      <c r="F325" s="4">
        <v>0.30069444444444443</v>
      </c>
      <c r="G325" s="4" t="str">
        <f t="shared" si="17"/>
        <v>7:00 AM – 8:00 AM</v>
      </c>
      <c r="H325">
        <v>483</v>
      </c>
      <c r="I325">
        <v>789</v>
      </c>
      <c r="J325">
        <v>6</v>
      </c>
      <c r="K325">
        <v>390</v>
      </c>
      <c r="L325">
        <v>1</v>
      </c>
      <c r="M325">
        <v>0</v>
      </c>
      <c r="N325">
        <v>2</v>
      </c>
      <c r="O325">
        <v>398</v>
      </c>
      <c r="P325">
        <v>1</v>
      </c>
    </row>
    <row r="326" spans="1:16" x14ac:dyDescent="0.3">
      <c r="A326" s="3" t="s">
        <v>101</v>
      </c>
      <c r="B326" s="3">
        <v>45623</v>
      </c>
      <c r="C326">
        <v>2024</v>
      </c>
      <c r="D326" t="str">
        <f t="shared" si="15"/>
        <v>November</v>
      </c>
      <c r="E326" t="str">
        <f t="shared" si="16"/>
        <v>Wednesday</v>
      </c>
      <c r="F326" s="4">
        <v>0.29652777777777778</v>
      </c>
      <c r="G326" s="4" t="str">
        <f t="shared" si="17"/>
        <v>7:00 AM – 8:00 AM</v>
      </c>
      <c r="H326">
        <v>467</v>
      </c>
      <c r="I326">
        <v>779</v>
      </c>
      <c r="J326">
        <v>6</v>
      </c>
      <c r="K326">
        <v>201</v>
      </c>
      <c r="L326">
        <v>1</v>
      </c>
      <c r="M326">
        <v>0</v>
      </c>
      <c r="N326">
        <v>0</v>
      </c>
      <c r="O326">
        <v>201</v>
      </c>
      <c r="P326">
        <v>1</v>
      </c>
    </row>
    <row r="327" spans="1:16" x14ac:dyDescent="0.3">
      <c r="A327" s="3" t="s">
        <v>208</v>
      </c>
      <c r="B327" s="3">
        <v>45516</v>
      </c>
      <c r="C327">
        <v>2024</v>
      </c>
      <c r="D327" t="str">
        <f t="shared" si="15"/>
        <v>August</v>
      </c>
      <c r="E327" t="str">
        <f t="shared" si="16"/>
        <v>Monday</v>
      </c>
      <c r="F327" s="4">
        <v>0.28333333333333333</v>
      </c>
      <c r="G327" s="4" t="str">
        <f t="shared" si="17"/>
        <v>6:00 AM – 7:00 AM</v>
      </c>
      <c r="H327">
        <v>360</v>
      </c>
      <c r="I327">
        <v>568</v>
      </c>
      <c r="J327">
        <v>6</v>
      </c>
      <c r="K327">
        <v>59</v>
      </c>
      <c r="L327">
        <v>1</v>
      </c>
      <c r="M327">
        <v>0</v>
      </c>
      <c r="N327">
        <v>0</v>
      </c>
      <c r="O327">
        <v>62</v>
      </c>
      <c r="P327">
        <v>1</v>
      </c>
    </row>
    <row r="328" spans="1:16" x14ac:dyDescent="0.3">
      <c r="A328" s="3" t="s">
        <v>213</v>
      </c>
      <c r="B328" s="3">
        <v>45511</v>
      </c>
      <c r="C328">
        <v>2024</v>
      </c>
      <c r="D328" t="str">
        <f t="shared" si="15"/>
        <v>August</v>
      </c>
      <c r="E328" t="str">
        <f t="shared" si="16"/>
        <v>Wednesday</v>
      </c>
      <c r="F328" s="4">
        <v>0.29166666666666669</v>
      </c>
      <c r="G328" s="4" t="str">
        <f t="shared" si="17"/>
        <v>7:00 AM – 8:00 AM</v>
      </c>
      <c r="H328">
        <v>355</v>
      </c>
      <c r="I328">
        <v>565</v>
      </c>
      <c r="J328">
        <v>6</v>
      </c>
      <c r="K328">
        <v>45</v>
      </c>
      <c r="L328">
        <v>1</v>
      </c>
      <c r="M328">
        <v>0</v>
      </c>
      <c r="N328">
        <v>1</v>
      </c>
      <c r="O328">
        <v>49</v>
      </c>
      <c r="P328">
        <v>0</v>
      </c>
    </row>
    <row r="329" spans="1:16" x14ac:dyDescent="0.3">
      <c r="A329" s="3" t="s">
        <v>226</v>
      </c>
      <c r="B329" s="3">
        <v>45498</v>
      </c>
      <c r="C329">
        <v>2024</v>
      </c>
      <c r="D329" t="str">
        <f t="shared" si="15"/>
        <v>July</v>
      </c>
      <c r="E329" t="str">
        <f t="shared" si="16"/>
        <v>Thursday</v>
      </c>
      <c r="F329" s="4">
        <v>0.28333333333333333</v>
      </c>
      <c r="G329" s="4" t="str">
        <f t="shared" si="17"/>
        <v>6:00 AM – 7:00 AM</v>
      </c>
      <c r="H329">
        <v>342</v>
      </c>
      <c r="I329">
        <v>568</v>
      </c>
      <c r="J329">
        <v>6</v>
      </c>
      <c r="K329">
        <v>48</v>
      </c>
      <c r="L329">
        <v>1</v>
      </c>
      <c r="M329">
        <v>0</v>
      </c>
      <c r="N329">
        <v>1</v>
      </c>
      <c r="O329">
        <v>48</v>
      </c>
      <c r="P329">
        <v>-1</v>
      </c>
    </row>
    <row r="330" spans="1:16" x14ac:dyDescent="0.3">
      <c r="A330" s="3" t="s">
        <v>232</v>
      </c>
      <c r="B330" s="3">
        <v>45492</v>
      </c>
      <c r="C330">
        <v>2024</v>
      </c>
      <c r="D330" t="str">
        <f t="shared" si="15"/>
        <v>July</v>
      </c>
      <c r="E330" t="str">
        <f t="shared" si="16"/>
        <v>Friday</v>
      </c>
      <c r="F330" s="4">
        <v>0.28680555555555554</v>
      </c>
      <c r="G330" s="4" t="str">
        <f t="shared" si="17"/>
        <v>6:00 AM – 7:00 AM</v>
      </c>
      <c r="H330">
        <v>336</v>
      </c>
      <c r="I330">
        <v>569</v>
      </c>
      <c r="J330">
        <v>6</v>
      </c>
      <c r="K330">
        <v>276</v>
      </c>
      <c r="L330">
        <v>2</v>
      </c>
      <c r="M330">
        <v>0</v>
      </c>
      <c r="N330">
        <v>2</v>
      </c>
      <c r="O330">
        <v>245</v>
      </c>
      <c r="P330">
        <v>0</v>
      </c>
    </row>
    <row r="331" spans="1:16" x14ac:dyDescent="0.3">
      <c r="A331" s="3" t="s">
        <v>240</v>
      </c>
      <c r="B331" s="3">
        <v>45484</v>
      </c>
      <c r="C331">
        <v>2024</v>
      </c>
      <c r="D331" t="str">
        <f t="shared" si="15"/>
        <v>July</v>
      </c>
      <c r="E331" t="str">
        <f t="shared" si="16"/>
        <v>Thursday</v>
      </c>
      <c r="F331" s="4">
        <v>0.28958333333333336</v>
      </c>
      <c r="G331" s="4" t="str">
        <f t="shared" si="17"/>
        <v>6:00 AM – 7:00 AM</v>
      </c>
      <c r="H331">
        <v>328</v>
      </c>
      <c r="I331">
        <v>571</v>
      </c>
      <c r="J331">
        <v>6</v>
      </c>
      <c r="K331">
        <v>86</v>
      </c>
      <c r="L331">
        <v>1</v>
      </c>
      <c r="M331">
        <v>28</v>
      </c>
      <c r="N331">
        <v>1</v>
      </c>
      <c r="O331">
        <v>91</v>
      </c>
      <c r="P331">
        <v>-1</v>
      </c>
    </row>
    <row r="332" spans="1:16" x14ac:dyDescent="0.3">
      <c r="A332" s="3" t="s">
        <v>242</v>
      </c>
      <c r="B332" s="3">
        <v>45482</v>
      </c>
      <c r="C332">
        <v>2024</v>
      </c>
      <c r="D332" t="str">
        <f t="shared" si="15"/>
        <v>July</v>
      </c>
      <c r="E332" t="str">
        <f t="shared" si="16"/>
        <v>Tuesday</v>
      </c>
      <c r="F332" s="4">
        <v>0.28263888888888888</v>
      </c>
      <c r="G332" s="4" t="str">
        <f t="shared" si="17"/>
        <v>6:00 AM – 7:00 AM</v>
      </c>
      <c r="H332">
        <v>326</v>
      </c>
      <c r="I332">
        <v>571</v>
      </c>
      <c r="J332">
        <v>6</v>
      </c>
      <c r="K332">
        <v>69</v>
      </c>
      <c r="L332">
        <v>1</v>
      </c>
      <c r="M332">
        <v>1</v>
      </c>
      <c r="N332">
        <v>5</v>
      </c>
      <c r="O332">
        <v>67</v>
      </c>
      <c r="P332">
        <v>0</v>
      </c>
    </row>
    <row r="333" spans="1:16" x14ac:dyDescent="0.3">
      <c r="A333" s="3" t="s">
        <v>247</v>
      </c>
      <c r="B333" s="3">
        <v>45477</v>
      </c>
      <c r="C333">
        <v>2024</v>
      </c>
      <c r="D333" t="str">
        <f t="shared" si="15"/>
        <v>July</v>
      </c>
      <c r="E333" t="str">
        <f t="shared" si="16"/>
        <v>Thursday</v>
      </c>
      <c r="F333" s="4">
        <v>0.27638888888888891</v>
      </c>
      <c r="G333" s="4" t="str">
        <f t="shared" si="17"/>
        <v>6:00 AM – 7:00 AM</v>
      </c>
      <c r="H333">
        <v>321</v>
      </c>
      <c r="I333">
        <v>572</v>
      </c>
      <c r="J333">
        <v>6</v>
      </c>
      <c r="K333">
        <v>247</v>
      </c>
      <c r="L333">
        <v>1</v>
      </c>
      <c r="M333">
        <v>1</v>
      </c>
      <c r="N333">
        <v>1</v>
      </c>
      <c r="O333">
        <v>197</v>
      </c>
      <c r="P333">
        <v>10</v>
      </c>
    </row>
    <row r="334" spans="1:16" x14ac:dyDescent="0.3">
      <c r="A334" s="3" t="s">
        <v>261</v>
      </c>
      <c r="B334" s="3">
        <v>45463</v>
      </c>
      <c r="C334">
        <v>2024</v>
      </c>
      <c r="D334" t="str">
        <f t="shared" si="15"/>
        <v>June</v>
      </c>
      <c r="E334" t="str">
        <f t="shared" si="16"/>
        <v>Thursday</v>
      </c>
      <c r="F334" s="4">
        <v>0.27638888888888891</v>
      </c>
      <c r="G334" s="4" t="str">
        <f t="shared" si="17"/>
        <v>6:00 AM – 7:00 AM</v>
      </c>
      <c r="H334">
        <v>307</v>
      </c>
      <c r="I334">
        <v>523</v>
      </c>
      <c r="J334">
        <v>6</v>
      </c>
      <c r="K334">
        <v>87</v>
      </c>
      <c r="L334">
        <v>2</v>
      </c>
      <c r="M334">
        <v>0</v>
      </c>
      <c r="N334">
        <v>4</v>
      </c>
      <c r="O334">
        <v>101</v>
      </c>
      <c r="P334">
        <v>0</v>
      </c>
    </row>
    <row r="335" spans="1:16" x14ac:dyDescent="0.3">
      <c r="A335" s="3" t="s">
        <v>276</v>
      </c>
      <c r="B335" s="3">
        <v>45448</v>
      </c>
      <c r="C335">
        <v>2024</v>
      </c>
      <c r="D335" t="str">
        <f t="shared" si="15"/>
        <v>June</v>
      </c>
      <c r="E335" t="str">
        <f t="shared" si="16"/>
        <v>Wednesday</v>
      </c>
      <c r="F335" s="4">
        <v>0.27569444444444446</v>
      </c>
      <c r="G335" s="4" t="str">
        <f t="shared" si="17"/>
        <v>6:00 AM – 7:00 AM</v>
      </c>
      <c r="H335">
        <v>292</v>
      </c>
      <c r="I335">
        <v>515</v>
      </c>
      <c r="J335">
        <v>6</v>
      </c>
      <c r="K335">
        <v>72</v>
      </c>
      <c r="L335">
        <v>1</v>
      </c>
      <c r="M335">
        <v>0</v>
      </c>
      <c r="N335">
        <v>2</v>
      </c>
      <c r="O335">
        <v>80</v>
      </c>
      <c r="P335">
        <v>0</v>
      </c>
    </row>
    <row r="336" spans="1:16" x14ac:dyDescent="0.3">
      <c r="A336" s="3" t="s">
        <v>299</v>
      </c>
      <c r="B336" s="3">
        <v>45425</v>
      </c>
      <c r="C336">
        <v>2024</v>
      </c>
      <c r="D336" t="str">
        <f t="shared" si="15"/>
        <v>May</v>
      </c>
      <c r="E336" t="str">
        <f t="shared" si="16"/>
        <v>Monday</v>
      </c>
      <c r="F336" s="4">
        <v>0.27708333333333335</v>
      </c>
      <c r="G336" s="4" t="str">
        <f t="shared" si="17"/>
        <v>6:00 AM – 7:00 AM</v>
      </c>
      <c r="H336">
        <v>269</v>
      </c>
      <c r="I336">
        <v>491</v>
      </c>
      <c r="J336">
        <v>6</v>
      </c>
      <c r="K336">
        <v>79</v>
      </c>
      <c r="L336">
        <v>4</v>
      </c>
      <c r="M336">
        <v>2</v>
      </c>
      <c r="N336">
        <v>1</v>
      </c>
      <c r="O336">
        <v>94</v>
      </c>
      <c r="P336">
        <v>1</v>
      </c>
    </row>
    <row r="337" spans="1:16" x14ac:dyDescent="0.3">
      <c r="A337" s="3" t="s">
        <v>312</v>
      </c>
      <c r="B337" s="3">
        <v>45412</v>
      </c>
      <c r="C337">
        <v>2024</v>
      </c>
      <c r="D337" t="str">
        <f t="shared" si="15"/>
        <v>April</v>
      </c>
      <c r="E337" t="str">
        <f t="shared" si="16"/>
        <v>Tuesday</v>
      </c>
      <c r="F337" s="4">
        <v>0.24236111111111111</v>
      </c>
      <c r="G337" s="4" t="str">
        <f t="shared" si="17"/>
        <v>5:00 AM – 6:00 AM</v>
      </c>
      <c r="H337">
        <v>256</v>
      </c>
      <c r="I337">
        <v>465</v>
      </c>
      <c r="J337">
        <v>6</v>
      </c>
      <c r="K337">
        <v>111</v>
      </c>
      <c r="L337">
        <v>1</v>
      </c>
      <c r="M337">
        <v>0</v>
      </c>
      <c r="N337">
        <v>1</v>
      </c>
      <c r="O337">
        <v>119</v>
      </c>
      <c r="P337">
        <v>2</v>
      </c>
    </row>
    <row r="338" spans="1:16" x14ac:dyDescent="0.3">
      <c r="A338" s="3" t="s">
        <v>369</v>
      </c>
      <c r="B338" s="3">
        <v>45356</v>
      </c>
      <c r="C338">
        <v>2024</v>
      </c>
      <c r="D338" t="str">
        <f t="shared" si="15"/>
        <v>March</v>
      </c>
      <c r="E338" t="str">
        <f t="shared" si="16"/>
        <v>Tuesday</v>
      </c>
      <c r="F338" s="4">
        <v>0.26805555555555555</v>
      </c>
      <c r="G338" s="4" t="str">
        <f t="shared" si="17"/>
        <v>6:00 AM – 7:00 AM</v>
      </c>
      <c r="H338">
        <v>199</v>
      </c>
      <c r="I338">
        <v>132</v>
      </c>
      <c r="J338">
        <v>6</v>
      </c>
      <c r="K338">
        <v>115</v>
      </c>
      <c r="L338">
        <v>1</v>
      </c>
      <c r="M338">
        <v>4</v>
      </c>
      <c r="N338">
        <v>0</v>
      </c>
      <c r="O338">
        <v>118</v>
      </c>
      <c r="P338">
        <v>1</v>
      </c>
    </row>
    <row r="339" spans="1:16" x14ac:dyDescent="0.3">
      <c r="A339" s="3" t="s">
        <v>394</v>
      </c>
      <c r="B339" s="3">
        <v>45331</v>
      </c>
      <c r="C339">
        <v>2024</v>
      </c>
      <c r="D339" t="str">
        <f t="shared" si="15"/>
        <v>February</v>
      </c>
      <c r="E339" t="str">
        <f t="shared" si="16"/>
        <v>Friday</v>
      </c>
      <c r="F339" s="4">
        <v>0.1701388888888889</v>
      </c>
      <c r="G339" s="4" t="str">
        <f t="shared" si="17"/>
        <v>4:00 AM – 5:00 AM</v>
      </c>
      <c r="H339">
        <v>174</v>
      </c>
      <c r="I339">
        <v>124</v>
      </c>
      <c r="J339">
        <v>6</v>
      </c>
      <c r="K339">
        <v>54</v>
      </c>
      <c r="L339">
        <v>1</v>
      </c>
      <c r="M339">
        <v>2</v>
      </c>
      <c r="N339">
        <v>1</v>
      </c>
      <c r="O339">
        <v>54</v>
      </c>
      <c r="P339">
        <v>0</v>
      </c>
    </row>
    <row r="340" spans="1:16" x14ac:dyDescent="0.3">
      <c r="A340" s="3" t="s">
        <v>397</v>
      </c>
      <c r="B340" s="3">
        <v>45328</v>
      </c>
      <c r="C340">
        <v>2024</v>
      </c>
      <c r="D340" t="str">
        <f t="shared" si="15"/>
        <v>February</v>
      </c>
      <c r="E340" t="str">
        <f t="shared" si="16"/>
        <v>Tuesday</v>
      </c>
      <c r="F340" s="4">
        <v>0.10694444444444444</v>
      </c>
      <c r="G340" s="4" t="str">
        <f t="shared" si="17"/>
        <v>2:00 AM – 3:00 AM</v>
      </c>
      <c r="H340">
        <v>171</v>
      </c>
      <c r="I340">
        <v>122</v>
      </c>
      <c r="J340">
        <v>6</v>
      </c>
      <c r="K340">
        <v>49</v>
      </c>
      <c r="L340">
        <v>1</v>
      </c>
      <c r="M340">
        <v>1</v>
      </c>
      <c r="N340">
        <v>1</v>
      </c>
      <c r="O340">
        <v>49</v>
      </c>
      <c r="P340">
        <v>0</v>
      </c>
    </row>
    <row r="341" spans="1:16" x14ac:dyDescent="0.3">
      <c r="A341" s="3" t="s">
        <v>402</v>
      </c>
      <c r="B341" s="3">
        <v>45323</v>
      </c>
      <c r="C341">
        <v>2024</v>
      </c>
      <c r="D341" t="str">
        <f t="shared" si="15"/>
        <v>February</v>
      </c>
      <c r="E341" t="str">
        <f t="shared" si="16"/>
        <v>Thursday</v>
      </c>
      <c r="F341" s="4">
        <v>0.2722222222222222</v>
      </c>
      <c r="G341" s="4" t="str">
        <f t="shared" si="17"/>
        <v>6:00 AM – 7:00 AM</v>
      </c>
      <c r="H341">
        <v>166</v>
      </c>
      <c r="I341">
        <v>122</v>
      </c>
      <c r="J341">
        <v>6</v>
      </c>
      <c r="K341">
        <v>81</v>
      </c>
      <c r="L341">
        <v>1</v>
      </c>
      <c r="M341">
        <v>0</v>
      </c>
      <c r="N341">
        <v>1</v>
      </c>
      <c r="O341">
        <v>82</v>
      </c>
      <c r="P341">
        <v>1</v>
      </c>
    </row>
    <row r="342" spans="1:16" x14ac:dyDescent="0.3">
      <c r="A342" s="3" t="s">
        <v>483</v>
      </c>
      <c r="B342" s="3">
        <v>45243</v>
      </c>
      <c r="C342">
        <v>2023</v>
      </c>
      <c r="D342" t="str">
        <f t="shared" si="15"/>
        <v>November</v>
      </c>
      <c r="E342" t="str">
        <f t="shared" si="16"/>
        <v>Monday</v>
      </c>
      <c r="F342" s="4">
        <v>0.93888888888888888</v>
      </c>
      <c r="G342" s="4" t="str">
        <f t="shared" si="17"/>
        <v>10:00 PM – 11:00 PM</v>
      </c>
      <c r="H342">
        <v>83</v>
      </c>
      <c r="I342">
        <v>25</v>
      </c>
      <c r="J342">
        <v>6</v>
      </c>
      <c r="K342">
        <v>66</v>
      </c>
      <c r="L342">
        <v>0</v>
      </c>
      <c r="M342">
        <v>0</v>
      </c>
      <c r="N342">
        <v>2</v>
      </c>
      <c r="O342">
        <v>91</v>
      </c>
      <c r="P342">
        <v>1</v>
      </c>
    </row>
    <row r="343" spans="1:16" x14ac:dyDescent="0.3">
      <c r="A343" s="3" t="s">
        <v>32</v>
      </c>
      <c r="B343" s="3">
        <v>45692</v>
      </c>
      <c r="C343">
        <v>2025</v>
      </c>
      <c r="D343" t="str">
        <f t="shared" si="15"/>
        <v>February</v>
      </c>
      <c r="E343" t="str">
        <f t="shared" si="16"/>
        <v>Tuesday</v>
      </c>
      <c r="F343" s="4">
        <v>0.64652777777777781</v>
      </c>
      <c r="G343" s="4" t="str">
        <f t="shared" si="17"/>
        <v>3:00 PM – 4:00 PM</v>
      </c>
      <c r="H343">
        <v>536</v>
      </c>
      <c r="I343">
        <v>1294</v>
      </c>
      <c r="J343">
        <v>5</v>
      </c>
      <c r="K343">
        <v>202</v>
      </c>
      <c r="L343">
        <v>1</v>
      </c>
      <c r="M343">
        <v>0</v>
      </c>
      <c r="N343">
        <v>1</v>
      </c>
      <c r="O343">
        <v>204</v>
      </c>
      <c r="P343">
        <v>0</v>
      </c>
    </row>
    <row r="344" spans="1:16" x14ac:dyDescent="0.3">
      <c r="A344" s="3" t="s">
        <v>49</v>
      </c>
      <c r="B344" s="3">
        <v>45675</v>
      </c>
      <c r="C344">
        <v>2025</v>
      </c>
      <c r="D344" t="str">
        <f t="shared" si="15"/>
        <v>January</v>
      </c>
      <c r="E344" t="str">
        <f t="shared" si="16"/>
        <v>Saturday</v>
      </c>
      <c r="F344" s="4">
        <v>0.57847222222222228</v>
      </c>
      <c r="G344" s="4" t="str">
        <f t="shared" si="17"/>
        <v>1:00 PM – 2:00 PM</v>
      </c>
      <c r="H344">
        <v>519</v>
      </c>
      <c r="I344">
        <v>1281</v>
      </c>
      <c r="J344">
        <v>5</v>
      </c>
      <c r="K344">
        <v>186</v>
      </c>
      <c r="L344">
        <v>1</v>
      </c>
      <c r="M344">
        <v>3</v>
      </c>
      <c r="N344">
        <v>0</v>
      </c>
      <c r="O344">
        <v>186</v>
      </c>
      <c r="P344">
        <v>5</v>
      </c>
    </row>
    <row r="345" spans="1:16" x14ac:dyDescent="0.3">
      <c r="A345" s="3" t="s">
        <v>75</v>
      </c>
      <c r="B345" s="3">
        <v>45649</v>
      </c>
      <c r="C345">
        <v>2024</v>
      </c>
      <c r="D345" t="str">
        <f t="shared" si="15"/>
        <v>December</v>
      </c>
      <c r="E345" t="str">
        <f t="shared" si="16"/>
        <v>Monday</v>
      </c>
      <c r="F345" s="4">
        <v>0.5493055555555556</v>
      </c>
      <c r="G345" s="4" t="str">
        <f t="shared" si="17"/>
        <v>1:00 PM – 2:00 PM</v>
      </c>
      <c r="H345">
        <v>493</v>
      </c>
      <c r="I345">
        <v>792</v>
      </c>
      <c r="J345">
        <v>5</v>
      </c>
      <c r="K345">
        <v>820</v>
      </c>
      <c r="L345">
        <v>2</v>
      </c>
      <c r="M345">
        <v>4</v>
      </c>
      <c r="N345">
        <v>9</v>
      </c>
      <c r="O345">
        <v>812</v>
      </c>
      <c r="P345">
        <v>-6</v>
      </c>
    </row>
    <row r="346" spans="1:16" x14ac:dyDescent="0.3">
      <c r="A346" s="3" t="s">
        <v>103</v>
      </c>
      <c r="B346" s="3">
        <v>45621</v>
      </c>
      <c r="C346">
        <v>2024</v>
      </c>
      <c r="D346" t="str">
        <f t="shared" si="15"/>
        <v>November</v>
      </c>
      <c r="E346" t="str">
        <f t="shared" si="16"/>
        <v>Monday</v>
      </c>
      <c r="F346" s="4">
        <v>0.54861111111111116</v>
      </c>
      <c r="G346" s="4" t="str">
        <f t="shared" si="17"/>
        <v>1:00 PM – 2:00 PM</v>
      </c>
      <c r="H346">
        <v>465</v>
      </c>
      <c r="I346">
        <v>776</v>
      </c>
      <c r="J346">
        <v>5</v>
      </c>
      <c r="K346">
        <v>210</v>
      </c>
      <c r="L346">
        <v>1</v>
      </c>
      <c r="M346">
        <v>0</v>
      </c>
      <c r="N346">
        <v>0</v>
      </c>
      <c r="O346">
        <v>211</v>
      </c>
      <c r="P346">
        <v>1</v>
      </c>
    </row>
    <row r="347" spans="1:16" x14ac:dyDescent="0.3">
      <c r="A347" s="3" t="s">
        <v>121</v>
      </c>
      <c r="B347" s="3">
        <v>45603</v>
      </c>
      <c r="C347">
        <v>2024</v>
      </c>
      <c r="D347" t="str">
        <f t="shared" si="15"/>
        <v>November</v>
      </c>
      <c r="E347" t="str">
        <f t="shared" si="16"/>
        <v>Thursday</v>
      </c>
      <c r="F347" s="4">
        <v>0.57361111111111107</v>
      </c>
      <c r="G347" s="4" t="str">
        <f t="shared" si="17"/>
        <v>1:00 PM – 2:00 PM</v>
      </c>
      <c r="H347">
        <v>447</v>
      </c>
      <c r="I347">
        <v>772</v>
      </c>
      <c r="J347">
        <v>5</v>
      </c>
      <c r="K347">
        <v>139</v>
      </c>
      <c r="L347">
        <v>1</v>
      </c>
      <c r="M347">
        <v>1</v>
      </c>
      <c r="N347">
        <v>0</v>
      </c>
      <c r="O347">
        <v>140</v>
      </c>
      <c r="P347">
        <v>0</v>
      </c>
    </row>
    <row r="348" spans="1:16" x14ac:dyDescent="0.3">
      <c r="A348" s="3" t="s">
        <v>139</v>
      </c>
      <c r="B348" s="3">
        <v>45585</v>
      </c>
      <c r="C348">
        <v>2024</v>
      </c>
      <c r="D348" t="str">
        <f t="shared" si="15"/>
        <v>October</v>
      </c>
      <c r="E348" t="str">
        <f t="shared" si="16"/>
        <v>Sunday</v>
      </c>
      <c r="F348" s="4">
        <v>0.58125000000000004</v>
      </c>
      <c r="G348" s="4" t="str">
        <f t="shared" si="17"/>
        <v>1:00 PM – 2:00 PM</v>
      </c>
      <c r="H348">
        <v>429</v>
      </c>
      <c r="I348">
        <v>753</v>
      </c>
      <c r="J348">
        <v>5</v>
      </c>
      <c r="K348">
        <v>187</v>
      </c>
      <c r="L348">
        <v>2</v>
      </c>
      <c r="M348">
        <v>1</v>
      </c>
      <c r="N348">
        <v>1</v>
      </c>
      <c r="O348">
        <v>192</v>
      </c>
      <c r="P348">
        <v>2</v>
      </c>
    </row>
    <row r="349" spans="1:16" x14ac:dyDescent="0.3">
      <c r="A349" s="3" t="s">
        <v>174</v>
      </c>
      <c r="B349" s="3">
        <v>45550</v>
      </c>
      <c r="C349">
        <v>2024</v>
      </c>
      <c r="D349" t="str">
        <f t="shared" si="15"/>
        <v>September</v>
      </c>
      <c r="E349" t="str">
        <f t="shared" si="16"/>
        <v>Sunday</v>
      </c>
      <c r="F349" s="4">
        <v>0.30763888888888891</v>
      </c>
      <c r="G349" s="4" t="str">
        <f t="shared" si="17"/>
        <v>7:00 AM – 8:00 AM</v>
      </c>
      <c r="H349">
        <v>394</v>
      </c>
      <c r="I349">
        <v>643</v>
      </c>
      <c r="J349">
        <v>5</v>
      </c>
      <c r="K349">
        <v>473</v>
      </c>
      <c r="L349">
        <v>2</v>
      </c>
      <c r="M349">
        <v>0</v>
      </c>
      <c r="N349">
        <v>0</v>
      </c>
      <c r="O349">
        <v>473</v>
      </c>
      <c r="P349">
        <v>1</v>
      </c>
    </row>
    <row r="350" spans="1:16" x14ac:dyDescent="0.3">
      <c r="A350" s="3" t="s">
        <v>192</v>
      </c>
      <c r="B350" s="3">
        <v>45532</v>
      </c>
      <c r="C350">
        <v>2024</v>
      </c>
      <c r="D350" t="str">
        <f t="shared" si="15"/>
        <v>August</v>
      </c>
      <c r="E350" t="str">
        <f t="shared" si="16"/>
        <v>Wednesday</v>
      </c>
      <c r="F350" s="4">
        <v>0.30416666666666664</v>
      </c>
      <c r="G350" s="4" t="str">
        <f t="shared" si="17"/>
        <v>7:00 AM – 8:00 AM</v>
      </c>
      <c r="H350">
        <v>376</v>
      </c>
      <c r="I350">
        <v>585</v>
      </c>
      <c r="J350">
        <v>5</v>
      </c>
      <c r="K350">
        <v>81</v>
      </c>
      <c r="L350">
        <v>1</v>
      </c>
      <c r="M350">
        <v>1</v>
      </c>
      <c r="N350">
        <v>0</v>
      </c>
      <c r="O350">
        <v>81</v>
      </c>
      <c r="P350">
        <v>1</v>
      </c>
    </row>
    <row r="351" spans="1:16" x14ac:dyDescent="0.3">
      <c r="A351" s="3" t="s">
        <v>193</v>
      </c>
      <c r="B351" s="3">
        <v>45531</v>
      </c>
      <c r="C351">
        <v>2024</v>
      </c>
      <c r="D351" t="str">
        <f t="shared" si="15"/>
        <v>August</v>
      </c>
      <c r="E351" t="str">
        <f t="shared" si="16"/>
        <v>Tuesday</v>
      </c>
      <c r="F351" s="4">
        <v>0.28819444444444442</v>
      </c>
      <c r="G351" s="4" t="str">
        <f t="shared" si="17"/>
        <v>6:00 AM – 7:00 AM</v>
      </c>
      <c r="H351">
        <v>375</v>
      </c>
      <c r="I351">
        <v>584</v>
      </c>
      <c r="J351">
        <v>5</v>
      </c>
      <c r="K351">
        <v>69</v>
      </c>
      <c r="L351">
        <v>1</v>
      </c>
      <c r="M351">
        <v>0</v>
      </c>
      <c r="N351">
        <v>0</v>
      </c>
      <c r="O351">
        <v>67</v>
      </c>
      <c r="P351">
        <v>4</v>
      </c>
    </row>
    <row r="352" spans="1:16" x14ac:dyDescent="0.3">
      <c r="A352" s="3" t="s">
        <v>200</v>
      </c>
      <c r="B352" s="3">
        <v>45524</v>
      </c>
      <c r="C352">
        <v>2024</v>
      </c>
      <c r="D352" t="str">
        <f t="shared" si="15"/>
        <v>August</v>
      </c>
      <c r="E352" t="str">
        <f t="shared" si="16"/>
        <v>Tuesday</v>
      </c>
      <c r="F352" s="4">
        <v>0.29166666666666669</v>
      </c>
      <c r="G352" s="4" t="str">
        <f t="shared" si="17"/>
        <v>7:00 AM – 8:00 AM</v>
      </c>
      <c r="H352">
        <v>368</v>
      </c>
      <c r="I352">
        <v>571</v>
      </c>
      <c r="J352">
        <v>5</v>
      </c>
      <c r="K352">
        <v>76</v>
      </c>
      <c r="L352">
        <v>1</v>
      </c>
      <c r="M352">
        <v>0</v>
      </c>
      <c r="N352">
        <v>2</v>
      </c>
      <c r="O352">
        <v>75</v>
      </c>
      <c r="P352">
        <v>0</v>
      </c>
    </row>
    <row r="353" spans="1:16" x14ac:dyDescent="0.3">
      <c r="A353" s="3" t="s">
        <v>214</v>
      </c>
      <c r="B353" s="3">
        <v>45510</v>
      </c>
      <c r="C353">
        <v>2024</v>
      </c>
      <c r="D353" t="str">
        <f t="shared" si="15"/>
        <v>August</v>
      </c>
      <c r="E353" t="str">
        <f t="shared" si="16"/>
        <v>Tuesday</v>
      </c>
      <c r="F353" s="4">
        <v>0.3034722222222222</v>
      </c>
      <c r="G353" s="4" t="str">
        <f t="shared" si="17"/>
        <v>7:00 AM – 8:00 AM</v>
      </c>
      <c r="H353">
        <v>354</v>
      </c>
      <c r="I353">
        <v>565</v>
      </c>
      <c r="J353">
        <v>5</v>
      </c>
      <c r="K353">
        <v>59</v>
      </c>
      <c r="L353">
        <v>1</v>
      </c>
      <c r="M353">
        <v>3</v>
      </c>
      <c r="N353">
        <v>1</v>
      </c>
      <c r="O353">
        <v>62</v>
      </c>
      <c r="P353">
        <v>0</v>
      </c>
    </row>
    <row r="354" spans="1:16" x14ac:dyDescent="0.3">
      <c r="A354" s="3" t="s">
        <v>219</v>
      </c>
      <c r="B354" s="3">
        <v>45505</v>
      </c>
      <c r="C354">
        <v>2024</v>
      </c>
      <c r="D354" t="str">
        <f t="shared" si="15"/>
        <v>August</v>
      </c>
      <c r="E354" t="str">
        <f t="shared" si="16"/>
        <v>Thursday</v>
      </c>
      <c r="F354" s="4">
        <v>0.27847222222222223</v>
      </c>
      <c r="G354" s="4" t="str">
        <f t="shared" si="17"/>
        <v>6:00 AM – 7:00 AM</v>
      </c>
      <c r="H354">
        <v>349</v>
      </c>
      <c r="I354">
        <v>566</v>
      </c>
      <c r="J354">
        <v>5</v>
      </c>
      <c r="K354">
        <v>42</v>
      </c>
      <c r="L354">
        <v>4</v>
      </c>
      <c r="M354">
        <v>0</v>
      </c>
      <c r="N354">
        <v>2</v>
      </c>
      <c r="O354">
        <v>48</v>
      </c>
      <c r="P354">
        <v>0</v>
      </c>
    </row>
    <row r="355" spans="1:16" x14ac:dyDescent="0.3">
      <c r="A355" s="3" t="s">
        <v>260</v>
      </c>
      <c r="B355" s="3">
        <v>45464</v>
      </c>
      <c r="C355">
        <v>2024</v>
      </c>
      <c r="D355" t="str">
        <f t="shared" si="15"/>
        <v>June</v>
      </c>
      <c r="E355" t="str">
        <f t="shared" si="16"/>
        <v>Friday</v>
      </c>
      <c r="F355" s="4">
        <v>0.28541666666666665</v>
      </c>
      <c r="G355" s="4" t="str">
        <f t="shared" si="17"/>
        <v>6:00 AM – 7:00 AM</v>
      </c>
      <c r="H355">
        <v>308</v>
      </c>
      <c r="I355">
        <v>523</v>
      </c>
      <c r="J355">
        <v>5</v>
      </c>
      <c r="K355">
        <v>77</v>
      </c>
      <c r="L355">
        <v>1</v>
      </c>
      <c r="M355">
        <v>0</v>
      </c>
      <c r="N355">
        <v>0</v>
      </c>
      <c r="O355">
        <v>85</v>
      </c>
      <c r="P355">
        <v>0</v>
      </c>
    </row>
    <row r="356" spans="1:16" x14ac:dyDescent="0.3">
      <c r="A356" s="3" t="s">
        <v>277</v>
      </c>
      <c r="B356" s="3">
        <v>45447</v>
      </c>
      <c r="C356">
        <v>2024</v>
      </c>
      <c r="D356" t="str">
        <f t="shared" si="15"/>
        <v>June</v>
      </c>
      <c r="E356" t="str">
        <f t="shared" si="16"/>
        <v>Tuesday</v>
      </c>
      <c r="F356" s="4">
        <v>0.27986111111111112</v>
      </c>
      <c r="G356" s="4" t="str">
        <f t="shared" si="17"/>
        <v>6:00 AM – 7:00 AM</v>
      </c>
      <c r="H356">
        <v>291</v>
      </c>
      <c r="I356">
        <v>515</v>
      </c>
      <c r="J356">
        <v>5</v>
      </c>
      <c r="K356">
        <v>72</v>
      </c>
      <c r="L356">
        <v>2</v>
      </c>
      <c r="M356">
        <v>0</v>
      </c>
      <c r="N356">
        <v>0</v>
      </c>
      <c r="O356">
        <v>78</v>
      </c>
      <c r="P356">
        <v>0</v>
      </c>
    </row>
    <row r="357" spans="1:16" x14ac:dyDescent="0.3">
      <c r="A357" s="3" t="s">
        <v>278</v>
      </c>
      <c r="B357" s="3">
        <v>45446</v>
      </c>
      <c r="C357">
        <v>2024</v>
      </c>
      <c r="D357" t="str">
        <f t="shared" si="15"/>
        <v>June</v>
      </c>
      <c r="E357" t="str">
        <f t="shared" si="16"/>
        <v>Monday</v>
      </c>
      <c r="F357" s="4">
        <v>0.29097222222222224</v>
      </c>
      <c r="G357" s="4" t="str">
        <f t="shared" si="17"/>
        <v>6:00 AM – 7:00 AM</v>
      </c>
      <c r="H357">
        <v>290</v>
      </c>
      <c r="I357">
        <v>515</v>
      </c>
      <c r="J357">
        <v>5</v>
      </c>
      <c r="K357">
        <v>85</v>
      </c>
      <c r="L357">
        <v>0</v>
      </c>
      <c r="M357">
        <v>1</v>
      </c>
      <c r="N357">
        <v>2</v>
      </c>
      <c r="O357">
        <v>98</v>
      </c>
      <c r="P357">
        <v>1</v>
      </c>
    </row>
    <row r="358" spans="1:16" x14ac:dyDescent="0.3">
      <c r="A358" s="3" t="s">
        <v>291</v>
      </c>
      <c r="B358" s="3">
        <v>45433</v>
      </c>
      <c r="C358">
        <v>2024</v>
      </c>
      <c r="D358" t="str">
        <f t="shared" si="15"/>
        <v>May</v>
      </c>
      <c r="E358" t="str">
        <f t="shared" si="16"/>
        <v>Tuesday</v>
      </c>
      <c r="F358" s="4">
        <v>0.27083333333333331</v>
      </c>
      <c r="G358" s="4" t="str">
        <f t="shared" si="17"/>
        <v>6:00 AM – 7:00 AM</v>
      </c>
      <c r="H358">
        <v>277</v>
      </c>
      <c r="I358">
        <v>504</v>
      </c>
      <c r="J358">
        <v>5</v>
      </c>
      <c r="K358">
        <v>59</v>
      </c>
      <c r="L358">
        <v>1</v>
      </c>
      <c r="M358">
        <v>0</v>
      </c>
      <c r="N358">
        <v>0</v>
      </c>
      <c r="O358">
        <v>63</v>
      </c>
      <c r="P358">
        <v>6</v>
      </c>
    </row>
    <row r="359" spans="1:16" x14ac:dyDescent="0.3">
      <c r="A359" s="3" t="s">
        <v>304</v>
      </c>
      <c r="B359" s="3">
        <v>45420</v>
      </c>
      <c r="C359">
        <v>2024</v>
      </c>
      <c r="D359" t="str">
        <f t="shared" si="15"/>
        <v>May</v>
      </c>
      <c r="E359" t="str">
        <f t="shared" si="16"/>
        <v>Wednesday</v>
      </c>
      <c r="F359" s="4">
        <v>0.24166666666666667</v>
      </c>
      <c r="G359" s="4" t="str">
        <f t="shared" si="17"/>
        <v>5:00 AM – 6:00 AM</v>
      </c>
      <c r="H359">
        <v>264</v>
      </c>
      <c r="I359">
        <v>481</v>
      </c>
      <c r="J359">
        <v>5</v>
      </c>
      <c r="K359">
        <v>71</v>
      </c>
      <c r="L359">
        <v>1</v>
      </c>
      <c r="M359">
        <v>2</v>
      </c>
      <c r="N359">
        <v>0</v>
      </c>
      <c r="O359">
        <v>80</v>
      </c>
      <c r="P359">
        <v>5</v>
      </c>
    </row>
    <row r="360" spans="1:16" x14ac:dyDescent="0.3">
      <c r="A360" s="3" t="s">
        <v>308</v>
      </c>
      <c r="B360" s="3">
        <v>45416</v>
      </c>
      <c r="C360">
        <v>2024</v>
      </c>
      <c r="D360" t="str">
        <f t="shared" si="15"/>
        <v>May</v>
      </c>
      <c r="E360" t="str">
        <f t="shared" si="16"/>
        <v>Saturday</v>
      </c>
      <c r="F360" s="4">
        <v>0.24444444444444444</v>
      </c>
      <c r="G360" s="4" t="str">
        <f t="shared" si="17"/>
        <v>5:00 AM – 6:00 AM</v>
      </c>
      <c r="H360">
        <v>260</v>
      </c>
      <c r="I360">
        <v>471</v>
      </c>
      <c r="J360">
        <v>5</v>
      </c>
      <c r="K360">
        <v>179</v>
      </c>
      <c r="L360">
        <v>1</v>
      </c>
      <c r="M360">
        <v>2</v>
      </c>
      <c r="N360">
        <v>1</v>
      </c>
      <c r="O360">
        <v>197</v>
      </c>
      <c r="P360">
        <v>1</v>
      </c>
    </row>
    <row r="361" spans="1:16" x14ac:dyDescent="0.3">
      <c r="A361" s="3" t="s">
        <v>322</v>
      </c>
      <c r="B361" s="3">
        <v>45402</v>
      </c>
      <c r="C361">
        <v>2024</v>
      </c>
      <c r="D361" t="str">
        <f t="shared" si="15"/>
        <v>April</v>
      </c>
      <c r="E361" t="str">
        <f t="shared" si="16"/>
        <v>Saturday</v>
      </c>
      <c r="F361" s="4">
        <v>0.23333333333333334</v>
      </c>
      <c r="G361" s="4" t="str">
        <f t="shared" si="17"/>
        <v>5:00 AM – 6:00 AM</v>
      </c>
      <c r="H361">
        <v>246</v>
      </c>
      <c r="I361">
        <v>450</v>
      </c>
      <c r="J361">
        <v>5</v>
      </c>
      <c r="K361">
        <v>125</v>
      </c>
      <c r="L361">
        <v>1</v>
      </c>
      <c r="M361">
        <v>1</v>
      </c>
      <c r="N361">
        <v>0</v>
      </c>
      <c r="O361">
        <v>131</v>
      </c>
      <c r="P361">
        <v>3</v>
      </c>
    </row>
    <row r="362" spans="1:16" x14ac:dyDescent="0.3">
      <c r="A362" s="3" t="s">
        <v>324</v>
      </c>
      <c r="B362" s="3">
        <v>45400</v>
      </c>
      <c r="C362">
        <v>2024</v>
      </c>
      <c r="D362" t="str">
        <f t="shared" si="15"/>
        <v>April</v>
      </c>
      <c r="E362" t="str">
        <f t="shared" si="16"/>
        <v>Thursday</v>
      </c>
      <c r="F362" s="4">
        <v>0.2590277777777778</v>
      </c>
      <c r="G362" s="4" t="str">
        <f t="shared" si="17"/>
        <v>6:00 AM – 7:00 AM</v>
      </c>
      <c r="H362">
        <v>244</v>
      </c>
      <c r="I362">
        <v>439</v>
      </c>
      <c r="J362">
        <v>5</v>
      </c>
      <c r="K362">
        <v>104</v>
      </c>
      <c r="L362">
        <v>1</v>
      </c>
      <c r="M362">
        <v>0</v>
      </c>
      <c r="N362">
        <v>0</v>
      </c>
      <c r="O362">
        <v>109</v>
      </c>
      <c r="P362">
        <v>3</v>
      </c>
    </row>
    <row r="363" spans="1:16" x14ac:dyDescent="0.3">
      <c r="A363" s="3" t="s">
        <v>338</v>
      </c>
      <c r="B363" s="3">
        <v>45386</v>
      </c>
      <c r="C363">
        <v>2024</v>
      </c>
      <c r="D363" t="str">
        <f t="shared" si="15"/>
        <v>April</v>
      </c>
      <c r="E363" t="str">
        <f t="shared" si="16"/>
        <v>Thursday</v>
      </c>
      <c r="F363" s="4">
        <v>0.22638888888888889</v>
      </c>
      <c r="G363" s="4" t="str">
        <f t="shared" si="17"/>
        <v>5:00 AM – 6:00 AM</v>
      </c>
      <c r="H363">
        <v>230</v>
      </c>
      <c r="I363">
        <v>317</v>
      </c>
      <c r="J363">
        <v>5</v>
      </c>
      <c r="K363">
        <v>242</v>
      </c>
      <c r="L363">
        <v>1</v>
      </c>
      <c r="M363">
        <v>0</v>
      </c>
      <c r="N363">
        <v>0</v>
      </c>
      <c r="O363">
        <v>242</v>
      </c>
      <c r="P363">
        <v>12</v>
      </c>
    </row>
    <row r="364" spans="1:16" x14ac:dyDescent="0.3">
      <c r="A364" s="3" t="s">
        <v>358</v>
      </c>
      <c r="B364" s="3">
        <v>45367</v>
      </c>
      <c r="C364">
        <v>2024</v>
      </c>
      <c r="D364" t="str">
        <f t="shared" si="15"/>
        <v>March</v>
      </c>
      <c r="E364" t="str">
        <f t="shared" si="16"/>
        <v>Saturday</v>
      </c>
      <c r="F364" s="4">
        <v>0.30416666666666664</v>
      </c>
      <c r="G364" s="4" t="str">
        <f t="shared" si="17"/>
        <v>7:00 AM – 8:00 AM</v>
      </c>
      <c r="H364">
        <v>210</v>
      </c>
      <c r="I364">
        <v>141</v>
      </c>
      <c r="J364">
        <v>5</v>
      </c>
      <c r="K364">
        <v>190</v>
      </c>
      <c r="L364">
        <v>1</v>
      </c>
      <c r="M364">
        <v>1</v>
      </c>
      <c r="N364">
        <v>0</v>
      </c>
      <c r="O364">
        <v>193</v>
      </c>
      <c r="P364">
        <v>0</v>
      </c>
    </row>
    <row r="365" spans="1:16" x14ac:dyDescent="0.3">
      <c r="A365" s="3" t="s">
        <v>372</v>
      </c>
      <c r="B365" s="3">
        <v>45353</v>
      </c>
      <c r="C365">
        <v>2024</v>
      </c>
      <c r="D365" t="str">
        <f t="shared" si="15"/>
        <v>March</v>
      </c>
      <c r="E365" t="str">
        <f t="shared" si="16"/>
        <v>Saturday</v>
      </c>
      <c r="F365" s="4">
        <v>0.25694444444444442</v>
      </c>
      <c r="G365" s="4" t="str">
        <f t="shared" si="17"/>
        <v>6:00 AM – 7:00 AM</v>
      </c>
      <c r="H365">
        <v>196</v>
      </c>
      <c r="I365">
        <v>131</v>
      </c>
      <c r="J365">
        <v>5</v>
      </c>
      <c r="K365">
        <v>85</v>
      </c>
      <c r="L365">
        <v>1</v>
      </c>
      <c r="M365">
        <v>0</v>
      </c>
      <c r="N365">
        <v>0</v>
      </c>
      <c r="O365">
        <v>84</v>
      </c>
      <c r="P365">
        <v>0</v>
      </c>
    </row>
    <row r="366" spans="1:16" x14ac:dyDescent="0.3">
      <c r="A366" s="3" t="s">
        <v>380</v>
      </c>
      <c r="B366" s="3">
        <v>45345</v>
      </c>
      <c r="C366">
        <v>2024</v>
      </c>
      <c r="D366" t="str">
        <f t="shared" si="15"/>
        <v>February</v>
      </c>
      <c r="E366" t="str">
        <f t="shared" si="16"/>
        <v>Friday</v>
      </c>
      <c r="F366" s="4">
        <v>0.19305555555555556</v>
      </c>
      <c r="G366" s="4" t="str">
        <f t="shared" si="17"/>
        <v>4:00 AM – 5:00 AM</v>
      </c>
      <c r="H366">
        <v>188</v>
      </c>
      <c r="I366">
        <v>125</v>
      </c>
      <c r="J366">
        <v>5</v>
      </c>
      <c r="K366">
        <v>62</v>
      </c>
      <c r="L366">
        <v>1</v>
      </c>
      <c r="M366">
        <v>0</v>
      </c>
      <c r="N366">
        <v>0</v>
      </c>
      <c r="O366">
        <v>62</v>
      </c>
      <c r="P366">
        <v>0</v>
      </c>
    </row>
    <row r="367" spans="1:16" x14ac:dyDescent="0.3">
      <c r="A367" s="3" t="s">
        <v>382</v>
      </c>
      <c r="B367" s="3">
        <v>45343</v>
      </c>
      <c r="C367">
        <v>2024</v>
      </c>
      <c r="D367" t="str">
        <f t="shared" si="15"/>
        <v>February</v>
      </c>
      <c r="E367" t="str">
        <f t="shared" si="16"/>
        <v>Wednesday</v>
      </c>
      <c r="F367" s="4">
        <v>0.125</v>
      </c>
      <c r="G367" s="4" t="str">
        <f t="shared" si="17"/>
        <v>3:00 AM – 4:00 AM</v>
      </c>
      <c r="H367">
        <v>186</v>
      </c>
      <c r="I367">
        <v>124</v>
      </c>
      <c r="J367">
        <v>5</v>
      </c>
      <c r="K367">
        <v>55</v>
      </c>
      <c r="L367">
        <v>1</v>
      </c>
      <c r="M367">
        <v>0</v>
      </c>
      <c r="N367">
        <v>0</v>
      </c>
      <c r="O367">
        <v>56</v>
      </c>
      <c r="P367">
        <v>-1</v>
      </c>
    </row>
    <row r="368" spans="1:16" x14ac:dyDescent="0.3">
      <c r="A368" s="3" t="s">
        <v>384</v>
      </c>
      <c r="B368" s="3">
        <v>45341</v>
      </c>
      <c r="C368">
        <v>2024</v>
      </c>
      <c r="D368" t="str">
        <f t="shared" si="15"/>
        <v>February</v>
      </c>
      <c r="E368" t="str">
        <f t="shared" si="16"/>
        <v>Monday</v>
      </c>
      <c r="F368" s="4">
        <v>0.13472222222222222</v>
      </c>
      <c r="G368" s="4" t="str">
        <f t="shared" si="17"/>
        <v>3:00 AM – 4:00 AM</v>
      </c>
      <c r="H368">
        <v>184</v>
      </c>
      <c r="I368">
        <v>125</v>
      </c>
      <c r="J368">
        <v>5</v>
      </c>
      <c r="K368">
        <v>57</v>
      </c>
      <c r="L368">
        <v>1</v>
      </c>
      <c r="M368">
        <v>7</v>
      </c>
      <c r="N368">
        <v>0</v>
      </c>
      <c r="O368">
        <v>65</v>
      </c>
      <c r="P368">
        <v>0</v>
      </c>
    </row>
    <row r="369" spans="1:16" x14ac:dyDescent="0.3">
      <c r="A369" s="3" t="s">
        <v>389</v>
      </c>
      <c r="B369" s="3">
        <v>45336</v>
      </c>
      <c r="C369">
        <v>2024</v>
      </c>
      <c r="D369" t="str">
        <f t="shared" si="15"/>
        <v>February</v>
      </c>
      <c r="E369" t="str">
        <f t="shared" si="16"/>
        <v>Wednesday</v>
      </c>
      <c r="F369" s="4">
        <v>0.16458333333333333</v>
      </c>
      <c r="G369" s="4" t="str">
        <f t="shared" si="17"/>
        <v>3:00 AM – 4:00 AM</v>
      </c>
      <c r="H369">
        <v>179</v>
      </c>
      <c r="I369">
        <v>127</v>
      </c>
      <c r="J369">
        <v>5</v>
      </c>
      <c r="K369">
        <v>76</v>
      </c>
      <c r="L369">
        <v>1</v>
      </c>
      <c r="M369">
        <v>1</v>
      </c>
      <c r="N369">
        <v>1</v>
      </c>
      <c r="O369">
        <v>76</v>
      </c>
      <c r="P369">
        <v>2</v>
      </c>
    </row>
    <row r="370" spans="1:16" x14ac:dyDescent="0.3">
      <c r="A370" s="3" t="s">
        <v>390</v>
      </c>
      <c r="B370" s="3">
        <v>45335</v>
      </c>
      <c r="C370">
        <v>2024</v>
      </c>
      <c r="D370" t="str">
        <f t="shared" si="15"/>
        <v>February</v>
      </c>
      <c r="E370" t="str">
        <f t="shared" si="16"/>
        <v>Tuesday</v>
      </c>
      <c r="F370" s="4">
        <v>0.15138888888888888</v>
      </c>
      <c r="G370" s="4" t="str">
        <f t="shared" si="17"/>
        <v>3:00 AM – 4:00 AM</v>
      </c>
      <c r="H370">
        <v>178</v>
      </c>
      <c r="I370">
        <v>125</v>
      </c>
      <c r="J370">
        <v>5</v>
      </c>
      <c r="K370">
        <v>82</v>
      </c>
      <c r="L370">
        <v>3</v>
      </c>
      <c r="M370">
        <v>0</v>
      </c>
      <c r="N370">
        <v>0</v>
      </c>
      <c r="O370">
        <v>84</v>
      </c>
      <c r="P370">
        <v>1</v>
      </c>
    </row>
    <row r="371" spans="1:16" x14ac:dyDescent="0.3">
      <c r="A371" s="3" t="s">
        <v>395</v>
      </c>
      <c r="B371" s="3">
        <v>45330</v>
      </c>
      <c r="C371">
        <v>2024</v>
      </c>
      <c r="D371" t="str">
        <f t="shared" si="15"/>
        <v>February</v>
      </c>
      <c r="E371" t="str">
        <f t="shared" si="16"/>
        <v>Thursday</v>
      </c>
      <c r="F371" s="4">
        <v>0.14791666666666667</v>
      </c>
      <c r="G371" s="4" t="str">
        <f t="shared" si="17"/>
        <v>3:00 AM – 4:00 AM</v>
      </c>
      <c r="H371">
        <v>173</v>
      </c>
      <c r="I371">
        <v>124</v>
      </c>
      <c r="J371">
        <v>5</v>
      </c>
      <c r="K371">
        <v>49</v>
      </c>
      <c r="L371">
        <v>1</v>
      </c>
      <c r="M371">
        <v>0</v>
      </c>
      <c r="N371">
        <v>1</v>
      </c>
      <c r="O371">
        <v>51</v>
      </c>
      <c r="P371">
        <v>1</v>
      </c>
    </row>
    <row r="372" spans="1:16" x14ac:dyDescent="0.3">
      <c r="A372" s="3" t="s">
        <v>398</v>
      </c>
      <c r="B372" s="3">
        <v>45327</v>
      </c>
      <c r="C372">
        <v>2024</v>
      </c>
      <c r="D372" t="str">
        <f t="shared" si="15"/>
        <v>February</v>
      </c>
      <c r="E372" t="str">
        <f t="shared" si="16"/>
        <v>Monday</v>
      </c>
      <c r="F372" s="4">
        <v>0.2361111111111111</v>
      </c>
      <c r="G372" s="4" t="str">
        <f t="shared" si="17"/>
        <v>5:00 AM – 6:00 AM</v>
      </c>
      <c r="H372">
        <v>170</v>
      </c>
      <c r="I372">
        <v>122</v>
      </c>
      <c r="J372">
        <v>5</v>
      </c>
      <c r="K372">
        <v>50</v>
      </c>
      <c r="L372">
        <v>1</v>
      </c>
      <c r="M372">
        <v>2</v>
      </c>
      <c r="N372">
        <v>0</v>
      </c>
      <c r="O372">
        <v>53</v>
      </c>
      <c r="P372">
        <v>0</v>
      </c>
    </row>
    <row r="373" spans="1:16" x14ac:dyDescent="0.3">
      <c r="A373" s="3" t="s">
        <v>421</v>
      </c>
      <c r="B373" s="3">
        <v>45304</v>
      </c>
      <c r="C373">
        <v>2024</v>
      </c>
      <c r="D373" t="str">
        <f t="shared" si="15"/>
        <v>January</v>
      </c>
      <c r="E373" t="str">
        <f t="shared" si="16"/>
        <v>Saturday</v>
      </c>
      <c r="F373" s="4">
        <v>0.27083333333333331</v>
      </c>
      <c r="G373" s="4" t="str">
        <f t="shared" si="17"/>
        <v>6:00 AM – 7:00 AM</v>
      </c>
      <c r="H373">
        <v>147</v>
      </c>
      <c r="I373">
        <v>97</v>
      </c>
      <c r="J373">
        <v>5</v>
      </c>
      <c r="K373">
        <v>50</v>
      </c>
      <c r="L373">
        <v>1</v>
      </c>
      <c r="M373">
        <v>3</v>
      </c>
      <c r="N373">
        <v>0</v>
      </c>
      <c r="O373">
        <v>56</v>
      </c>
      <c r="P373">
        <v>4</v>
      </c>
    </row>
    <row r="374" spans="1:16" x14ac:dyDescent="0.3">
      <c r="A374" s="3" t="s">
        <v>23</v>
      </c>
      <c r="B374" s="3">
        <v>45701</v>
      </c>
      <c r="C374">
        <v>2025</v>
      </c>
      <c r="D374" t="str">
        <f t="shared" si="15"/>
        <v>February</v>
      </c>
      <c r="E374" t="str">
        <f t="shared" si="16"/>
        <v>Thursday</v>
      </c>
      <c r="F374" s="4">
        <v>0.61736111111111114</v>
      </c>
      <c r="G374" s="4" t="str">
        <f t="shared" si="17"/>
        <v>2:00 PM – 3:00 PM</v>
      </c>
      <c r="H374">
        <v>545</v>
      </c>
      <c r="I374">
        <v>1293</v>
      </c>
      <c r="J374">
        <v>4</v>
      </c>
      <c r="K374">
        <v>189</v>
      </c>
      <c r="L374">
        <v>2</v>
      </c>
      <c r="M374">
        <v>1</v>
      </c>
      <c r="N374">
        <v>0</v>
      </c>
      <c r="O374">
        <v>188</v>
      </c>
      <c r="P374">
        <v>0</v>
      </c>
    </row>
    <row r="375" spans="1:16" x14ac:dyDescent="0.3">
      <c r="A375" s="3" t="s">
        <v>59</v>
      </c>
      <c r="B375" s="3">
        <v>45665</v>
      </c>
      <c r="C375">
        <v>2025</v>
      </c>
      <c r="D375" t="str">
        <f t="shared" si="15"/>
        <v>January</v>
      </c>
      <c r="E375" t="str">
        <f t="shared" si="16"/>
        <v>Wednesday</v>
      </c>
      <c r="F375" s="4">
        <v>0.60486111111111107</v>
      </c>
      <c r="G375" s="4" t="str">
        <f t="shared" si="17"/>
        <v>2:00 PM – 3:00 PM</v>
      </c>
      <c r="H375">
        <v>509</v>
      </c>
      <c r="I375">
        <v>1269</v>
      </c>
      <c r="J375">
        <v>4</v>
      </c>
      <c r="K375">
        <v>165</v>
      </c>
      <c r="L375">
        <v>1</v>
      </c>
      <c r="M375">
        <v>0</v>
      </c>
      <c r="N375">
        <v>0</v>
      </c>
      <c r="O375">
        <v>169</v>
      </c>
      <c r="P375">
        <v>9</v>
      </c>
    </row>
    <row r="376" spans="1:16" x14ac:dyDescent="0.3">
      <c r="A376" s="3" t="s">
        <v>120</v>
      </c>
      <c r="B376" s="3">
        <v>45604</v>
      </c>
      <c r="C376">
        <v>2024</v>
      </c>
      <c r="D376" t="str">
        <f t="shared" si="15"/>
        <v>November</v>
      </c>
      <c r="E376" t="str">
        <f t="shared" si="16"/>
        <v>Friday</v>
      </c>
      <c r="F376" s="4">
        <v>0.59027777777777779</v>
      </c>
      <c r="G376" s="4" t="str">
        <f t="shared" si="17"/>
        <v>2:00 PM – 3:00 PM</v>
      </c>
      <c r="H376">
        <v>448</v>
      </c>
      <c r="I376">
        <v>772</v>
      </c>
      <c r="J376">
        <v>4</v>
      </c>
      <c r="K376">
        <v>216</v>
      </c>
      <c r="L376">
        <v>1</v>
      </c>
      <c r="M376">
        <v>0</v>
      </c>
      <c r="N376">
        <v>1</v>
      </c>
      <c r="O376">
        <v>214</v>
      </c>
      <c r="P376">
        <v>0</v>
      </c>
    </row>
    <row r="377" spans="1:16" x14ac:dyDescent="0.3">
      <c r="A377" s="3" t="s">
        <v>158</v>
      </c>
      <c r="B377" s="3">
        <v>45567</v>
      </c>
      <c r="C377">
        <v>2024</v>
      </c>
      <c r="D377" t="str">
        <f t="shared" si="15"/>
        <v>October</v>
      </c>
      <c r="E377" t="str">
        <f t="shared" si="16"/>
        <v>Wednesday</v>
      </c>
      <c r="F377" s="4">
        <v>0.27847222222222223</v>
      </c>
      <c r="G377" s="4" t="str">
        <f t="shared" si="17"/>
        <v>6:00 AM – 7:00 AM</v>
      </c>
      <c r="H377">
        <v>410</v>
      </c>
      <c r="I377">
        <v>696</v>
      </c>
      <c r="J377">
        <v>4</v>
      </c>
      <c r="K377">
        <v>118</v>
      </c>
      <c r="L377">
        <v>1</v>
      </c>
      <c r="M377">
        <v>1</v>
      </c>
      <c r="N377">
        <v>0</v>
      </c>
      <c r="O377">
        <v>114</v>
      </c>
      <c r="P377">
        <v>0</v>
      </c>
    </row>
    <row r="378" spans="1:16" x14ac:dyDescent="0.3">
      <c r="A378" s="3" t="s">
        <v>173</v>
      </c>
      <c r="B378" s="3">
        <v>45551</v>
      </c>
      <c r="C378">
        <v>2024</v>
      </c>
      <c r="D378" t="str">
        <f t="shared" si="15"/>
        <v>September</v>
      </c>
      <c r="E378" t="str">
        <f t="shared" si="16"/>
        <v>Monday</v>
      </c>
      <c r="F378" s="4">
        <v>0.51458333333333328</v>
      </c>
      <c r="G378" s="4" t="str">
        <f t="shared" si="17"/>
        <v>12:00 PM – 1:00 PM</v>
      </c>
      <c r="H378">
        <v>395</v>
      </c>
      <c r="I378">
        <v>645</v>
      </c>
      <c r="J378">
        <v>4</v>
      </c>
      <c r="K378">
        <v>114</v>
      </c>
      <c r="L378">
        <v>2</v>
      </c>
      <c r="M378">
        <v>0</v>
      </c>
      <c r="N378">
        <v>2</v>
      </c>
      <c r="O378">
        <v>117</v>
      </c>
      <c r="P378">
        <v>2</v>
      </c>
    </row>
    <row r="379" spans="1:16" x14ac:dyDescent="0.3">
      <c r="A379" s="3" t="s">
        <v>184</v>
      </c>
      <c r="B379" s="3">
        <v>45540</v>
      </c>
      <c r="C379">
        <v>2024</v>
      </c>
      <c r="D379" t="str">
        <f t="shared" si="15"/>
        <v>September</v>
      </c>
      <c r="E379" t="str">
        <f t="shared" si="16"/>
        <v>Thursday</v>
      </c>
      <c r="F379" s="4">
        <v>0.29722222222222222</v>
      </c>
      <c r="G379" s="4" t="str">
        <f t="shared" si="17"/>
        <v>7:00 AM – 8:00 AM</v>
      </c>
      <c r="H379">
        <v>384</v>
      </c>
      <c r="I379">
        <v>610</v>
      </c>
      <c r="J379">
        <v>4</v>
      </c>
      <c r="K379">
        <v>156</v>
      </c>
      <c r="L379">
        <v>1</v>
      </c>
      <c r="M379">
        <v>2</v>
      </c>
      <c r="N379">
        <v>0</v>
      </c>
      <c r="O379">
        <v>160</v>
      </c>
      <c r="P379">
        <v>6</v>
      </c>
    </row>
    <row r="380" spans="1:16" x14ac:dyDescent="0.3">
      <c r="A380" s="3" t="s">
        <v>206</v>
      </c>
      <c r="B380" s="3">
        <v>45518</v>
      </c>
      <c r="C380">
        <v>2024</v>
      </c>
      <c r="D380" t="str">
        <f t="shared" si="15"/>
        <v>August</v>
      </c>
      <c r="E380" t="str">
        <f t="shared" si="16"/>
        <v>Wednesday</v>
      </c>
      <c r="F380" s="4">
        <v>0.29236111111111113</v>
      </c>
      <c r="G380" s="4" t="str">
        <f t="shared" si="17"/>
        <v>7:00 AM – 8:00 AM</v>
      </c>
      <c r="H380">
        <v>362</v>
      </c>
      <c r="I380">
        <v>568</v>
      </c>
      <c r="J380">
        <v>4</v>
      </c>
      <c r="K380">
        <v>55</v>
      </c>
      <c r="L380">
        <v>1</v>
      </c>
      <c r="M380">
        <v>0</v>
      </c>
      <c r="N380">
        <v>0</v>
      </c>
      <c r="O380">
        <v>57</v>
      </c>
      <c r="P380">
        <v>0</v>
      </c>
    </row>
    <row r="381" spans="1:16" x14ac:dyDescent="0.3">
      <c r="A381" s="3" t="s">
        <v>233</v>
      </c>
      <c r="B381" s="3">
        <v>45491</v>
      </c>
      <c r="C381">
        <v>2024</v>
      </c>
      <c r="D381" t="str">
        <f t="shared" si="15"/>
        <v>July</v>
      </c>
      <c r="E381" t="str">
        <f t="shared" si="16"/>
        <v>Thursday</v>
      </c>
      <c r="F381" s="4">
        <v>0.28333333333333333</v>
      </c>
      <c r="G381" s="4" t="str">
        <f t="shared" si="17"/>
        <v>6:00 AM – 7:00 AM</v>
      </c>
      <c r="H381">
        <v>335</v>
      </c>
      <c r="I381">
        <v>569</v>
      </c>
      <c r="J381">
        <v>4</v>
      </c>
      <c r="K381">
        <v>87</v>
      </c>
      <c r="L381">
        <v>3</v>
      </c>
      <c r="M381">
        <v>1</v>
      </c>
      <c r="N381">
        <v>2</v>
      </c>
      <c r="O381">
        <v>82</v>
      </c>
      <c r="P381">
        <v>0</v>
      </c>
    </row>
    <row r="382" spans="1:16" x14ac:dyDescent="0.3">
      <c r="A382" s="3" t="s">
        <v>237</v>
      </c>
      <c r="B382" s="3">
        <v>45487</v>
      </c>
      <c r="C382">
        <v>2024</v>
      </c>
      <c r="D382" t="str">
        <f t="shared" si="15"/>
        <v>July</v>
      </c>
      <c r="E382" t="str">
        <f t="shared" si="16"/>
        <v>Sunday</v>
      </c>
      <c r="F382" s="4">
        <v>0.3</v>
      </c>
      <c r="G382" s="4" t="str">
        <f t="shared" si="17"/>
        <v>7:00 AM – 8:00 AM</v>
      </c>
      <c r="H382">
        <v>331</v>
      </c>
      <c r="I382">
        <v>571</v>
      </c>
      <c r="J382">
        <v>4</v>
      </c>
      <c r="K382">
        <v>61</v>
      </c>
      <c r="L382">
        <v>1</v>
      </c>
      <c r="M382">
        <v>0</v>
      </c>
      <c r="N382">
        <v>0</v>
      </c>
      <c r="O382">
        <v>55</v>
      </c>
      <c r="P382">
        <v>-1</v>
      </c>
    </row>
    <row r="383" spans="1:16" x14ac:dyDescent="0.3">
      <c r="A383" s="3" t="s">
        <v>266</v>
      </c>
      <c r="B383" s="3">
        <v>45458</v>
      </c>
      <c r="C383">
        <v>2024</v>
      </c>
      <c r="D383" t="str">
        <f t="shared" si="15"/>
        <v>June</v>
      </c>
      <c r="E383" t="str">
        <f t="shared" si="16"/>
        <v>Saturday</v>
      </c>
      <c r="F383" s="4">
        <v>0.28888888888888886</v>
      </c>
      <c r="G383" s="4" t="str">
        <f t="shared" si="17"/>
        <v>6:00 AM – 7:00 AM</v>
      </c>
      <c r="H383">
        <v>302</v>
      </c>
      <c r="I383">
        <v>519</v>
      </c>
      <c r="J383">
        <v>4</v>
      </c>
      <c r="K383">
        <v>100</v>
      </c>
      <c r="L383">
        <v>1</v>
      </c>
      <c r="M383">
        <v>0</v>
      </c>
      <c r="N383">
        <v>2</v>
      </c>
      <c r="O383">
        <v>113</v>
      </c>
      <c r="P383">
        <v>0</v>
      </c>
    </row>
    <row r="384" spans="1:16" x14ac:dyDescent="0.3">
      <c r="A384" s="3" t="s">
        <v>268</v>
      </c>
      <c r="B384" s="3">
        <v>45456</v>
      </c>
      <c r="C384">
        <v>2024</v>
      </c>
      <c r="D384" t="str">
        <f t="shared" si="15"/>
        <v>June</v>
      </c>
      <c r="E384" t="str">
        <f t="shared" si="16"/>
        <v>Thursday</v>
      </c>
      <c r="F384" s="4">
        <v>0.27916666666666667</v>
      </c>
      <c r="G384" s="4" t="str">
        <f t="shared" si="17"/>
        <v>6:00 AM – 7:00 AM</v>
      </c>
      <c r="H384">
        <v>300</v>
      </c>
      <c r="I384">
        <v>519</v>
      </c>
      <c r="J384">
        <v>4</v>
      </c>
      <c r="K384">
        <v>72</v>
      </c>
      <c r="L384">
        <v>1</v>
      </c>
      <c r="M384">
        <v>0</v>
      </c>
      <c r="N384">
        <v>0</v>
      </c>
      <c r="O384">
        <v>81</v>
      </c>
      <c r="P384">
        <v>1</v>
      </c>
    </row>
    <row r="385" spans="1:16" x14ac:dyDescent="0.3">
      <c r="A385" s="3" t="s">
        <v>275</v>
      </c>
      <c r="B385" s="3">
        <v>45449</v>
      </c>
      <c r="C385">
        <v>2024</v>
      </c>
      <c r="D385" t="str">
        <f t="shared" si="15"/>
        <v>June</v>
      </c>
      <c r="E385" t="str">
        <f t="shared" si="16"/>
        <v>Thursday</v>
      </c>
      <c r="F385" s="4">
        <v>0.27569444444444446</v>
      </c>
      <c r="G385" s="4" t="str">
        <f t="shared" si="17"/>
        <v>6:00 AM – 7:00 AM</v>
      </c>
      <c r="H385">
        <v>293</v>
      </c>
      <c r="I385">
        <v>514</v>
      </c>
      <c r="J385">
        <v>4</v>
      </c>
      <c r="K385">
        <v>59</v>
      </c>
      <c r="L385">
        <v>1</v>
      </c>
      <c r="M385">
        <v>0</v>
      </c>
      <c r="N385">
        <v>0</v>
      </c>
      <c r="O385">
        <v>68</v>
      </c>
      <c r="P385">
        <v>-1</v>
      </c>
    </row>
    <row r="386" spans="1:16" x14ac:dyDescent="0.3">
      <c r="A386" s="3" t="s">
        <v>284</v>
      </c>
      <c r="B386" s="3">
        <v>45440</v>
      </c>
      <c r="C386">
        <v>2024</v>
      </c>
      <c r="D386" t="str">
        <f t="shared" ref="D386:D449" si="18">TEXT(B386,"MMMM")</f>
        <v>May</v>
      </c>
      <c r="E386" t="str">
        <f t="shared" ref="E386:E449" si="19">TEXT(B386,"dddd")</f>
        <v>Tuesday</v>
      </c>
      <c r="F386" s="4">
        <v>0.29583333333333334</v>
      </c>
      <c r="G386" s="4" t="str">
        <f t="shared" ref="G386:G449" si="20">TEXT(FLOOR(F386,"1:00"),"h:mm AM/PM") &amp; " – " &amp; TEXT(FLOOR(F386,"1:00") + TIME(1,0,0),"h:mm AM/PM")</f>
        <v>7:00 AM – 8:00 AM</v>
      </c>
      <c r="H386">
        <v>284</v>
      </c>
      <c r="I386">
        <v>509</v>
      </c>
      <c r="J386">
        <v>4</v>
      </c>
      <c r="K386">
        <v>52</v>
      </c>
      <c r="L386">
        <v>1</v>
      </c>
      <c r="M386">
        <v>0</v>
      </c>
      <c r="N386">
        <v>0</v>
      </c>
      <c r="O386">
        <v>62</v>
      </c>
      <c r="P386">
        <v>0</v>
      </c>
    </row>
    <row r="387" spans="1:16" x14ac:dyDescent="0.3">
      <c r="A387" s="3" t="s">
        <v>310</v>
      </c>
      <c r="B387" s="3">
        <v>45414</v>
      </c>
      <c r="C387">
        <v>2024</v>
      </c>
      <c r="D387" t="str">
        <f t="shared" si="18"/>
        <v>May</v>
      </c>
      <c r="E387" t="str">
        <f t="shared" si="19"/>
        <v>Thursday</v>
      </c>
      <c r="F387" s="4">
        <v>0.29722222222222222</v>
      </c>
      <c r="G387" s="4" t="str">
        <f t="shared" si="20"/>
        <v>7:00 AM – 8:00 AM</v>
      </c>
      <c r="H387">
        <v>258</v>
      </c>
      <c r="I387">
        <v>469</v>
      </c>
      <c r="J387">
        <v>4</v>
      </c>
      <c r="K387">
        <v>142</v>
      </c>
      <c r="L387">
        <v>1</v>
      </c>
      <c r="M387">
        <v>1</v>
      </c>
      <c r="N387">
        <v>0</v>
      </c>
      <c r="O387">
        <v>151</v>
      </c>
      <c r="P387">
        <v>1</v>
      </c>
    </row>
    <row r="388" spans="1:16" x14ac:dyDescent="0.3">
      <c r="A388" s="3" t="s">
        <v>333</v>
      </c>
      <c r="B388" s="3">
        <v>45391</v>
      </c>
      <c r="C388">
        <v>2024</v>
      </c>
      <c r="D388" t="str">
        <f t="shared" si="18"/>
        <v>April</v>
      </c>
      <c r="E388" t="str">
        <f t="shared" si="19"/>
        <v>Tuesday</v>
      </c>
      <c r="F388" s="4">
        <v>0.24861111111111112</v>
      </c>
      <c r="G388" s="4" t="str">
        <f t="shared" si="20"/>
        <v>5:00 AM – 6:00 AM</v>
      </c>
      <c r="H388">
        <v>235</v>
      </c>
      <c r="I388">
        <v>360</v>
      </c>
      <c r="J388">
        <v>4</v>
      </c>
      <c r="K388">
        <v>325</v>
      </c>
      <c r="L388">
        <v>1</v>
      </c>
      <c r="M388">
        <v>0</v>
      </c>
      <c r="N388">
        <v>4</v>
      </c>
      <c r="O388">
        <v>316</v>
      </c>
      <c r="P388">
        <v>5</v>
      </c>
    </row>
    <row r="389" spans="1:16" x14ac:dyDescent="0.3">
      <c r="A389" s="3" t="s">
        <v>340</v>
      </c>
      <c r="B389" s="3">
        <v>45384</v>
      </c>
      <c r="C389">
        <v>2024</v>
      </c>
      <c r="D389" t="str">
        <f t="shared" si="18"/>
        <v>April</v>
      </c>
      <c r="E389" t="str">
        <f t="shared" si="19"/>
        <v>Tuesday</v>
      </c>
      <c r="F389" s="4">
        <v>0.2722222222222222</v>
      </c>
      <c r="G389" s="4" t="str">
        <f t="shared" si="20"/>
        <v>6:00 AM – 7:00 AM</v>
      </c>
      <c r="H389">
        <v>228</v>
      </c>
      <c r="I389">
        <v>292</v>
      </c>
      <c r="J389">
        <v>4</v>
      </c>
      <c r="K389">
        <v>262</v>
      </c>
      <c r="L389">
        <v>2</v>
      </c>
      <c r="M389">
        <v>0</v>
      </c>
      <c r="N389">
        <v>1</v>
      </c>
      <c r="O389">
        <v>260</v>
      </c>
      <c r="P389">
        <v>24</v>
      </c>
    </row>
    <row r="390" spans="1:16" x14ac:dyDescent="0.3">
      <c r="A390" s="3" t="s">
        <v>346</v>
      </c>
      <c r="B390" s="3">
        <v>45379</v>
      </c>
      <c r="C390">
        <v>2024</v>
      </c>
      <c r="D390" t="str">
        <f t="shared" si="18"/>
        <v>March</v>
      </c>
      <c r="E390" t="str">
        <f t="shared" si="19"/>
        <v>Thursday</v>
      </c>
      <c r="F390" s="4">
        <v>0.12083333333333333</v>
      </c>
      <c r="G390" s="4" t="str">
        <f t="shared" si="20"/>
        <v>2:00 AM – 3:00 AM</v>
      </c>
      <c r="H390">
        <v>222</v>
      </c>
      <c r="I390">
        <v>192</v>
      </c>
      <c r="J390">
        <v>4</v>
      </c>
      <c r="K390">
        <v>406</v>
      </c>
      <c r="L390">
        <v>3</v>
      </c>
      <c r="M390">
        <v>0</v>
      </c>
      <c r="N390">
        <v>5</v>
      </c>
      <c r="O390">
        <v>402</v>
      </c>
      <c r="P390">
        <v>-1</v>
      </c>
    </row>
    <row r="391" spans="1:16" x14ac:dyDescent="0.3">
      <c r="A391" s="3" t="s">
        <v>388</v>
      </c>
      <c r="B391" s="3">
        <v>45337</v>
      </c>
      <c r="C391">
        <v>2024</v>
      </c>
      <c r="D391" t="str">
        <f t="shared" si="18"/>
        <v>February</v>
      </c>
      <c r="E391" t="str">
        <f t="shared" si="19"/>
        <v>Thursday</v>
      </c>
      <c r="F391" s="4">
        <v>0.18402777777777779</v>
      </c>
      <c r="G391" s="4" t="str">
        <f t="shared" si="20"/>
        <v>4:00 AM – 5:00 AM</v>
      </c>
      <c r="H391">
        <v>180</v>
      </c>
      <c r="I391">
        <v>125</v>
      </c>
      <c r="J391">
        <v>4</v>
      </c>
      <c r="K391">
        <v>64</v>
      </c>
      <c r="L391">
        <v>1</v>
      </c>
      <c r="M391">
        <v>0</v>
      </c>
      <c r="N391">
        <v>1</v>
      </c>
      <c r="O391">
        <v>68</v>
      </c>
      <c r="P391">
        <v>-2</v>
      </c>
    </row>
    <row r="392" spans="1:16" x14ac:dyDescent="0.3">
      <c r="A392" s="3" t="s">
        <v>392</v>
      </c>
      <c r="B392" s="3">
        <v>45333</v>
      </c>
      <c r="C392">
        <v>2024</v>
      </c>
      <c r="D392" t="str">
        <f t="shared" si="18"/>
        <v>February</v>
      </c>
      <c r="E392" t="str">
        <f t="shared" si="19"/>
        <v>Sunday</v>
      </c>
      <c r="F392" s="4">
        <v>0.1361111111111111</v>
      </c>
      <c r="G392" s="4" t="str">
        <f t="shared" si="20"/>
        <v>3:00 AM – 4:00 AM</v>
      </c>
      <c r="H392">
        <v>176</v>
      </c>
      <c r="I392">
        <v>124</v>
      </c>
      <c r="J392">
        <v>4</v>
      </c>
      <c r="K392">
        <v>69</v>
      </c>
      <c r="L392">
        <v>1</v>
      </c>
      <c r="M392">
        <v>0</v>
      </c>
      <c r="N392">
        <v>0</v>
      </c>
      <c r="O392">
        <v>65</v>
      </c>
      <c r="P392">
        <v>0</v>
      </c>
    </row>
    <row r="393" spans="1:16" x14ac:dyDescent="0.3">
      <c r="A393" s="3" t="s">
        <v>400</v>
      </c>
      <c r="B393" s="3">
        <v>45325</v>
      </c>
      <c r="C393">
        <v>2024</v>
      </c>
      <c r="D393" t="str">
        <f t="shared" si="18"/>
        <v>February</v>
      </c>
      <c r="E393" t="str">
        <f t="shared" si="19"/>
        <v>Saturday</v>
      </c>
      <c r="F393" s="4">
        <v>0.15833333333333333</v>
      </c>
      <c r="G393" s="4" t="str">
        <f t="shared" si="20"/>
        <v>3:00 AM – 4:00 AM</v>
      </c>
      <c r="H393">
        <v>168</v>
      </c>
      <c r="I393">
        <v>122</v>
      </c>
      <c r="J393">
        <v>4</v>
      </c>
      <c r="K393">
        <v>46</v>
      </c>
      <c r="L393">
        <v>1</v>
      </c>
      <c r="M393">
        <v>1</v>
      </c>
      <c r="N393">
        <v>0</v>
      </c>
      <c r="O393">
        <v>46</v>
      </c>
      <c r="P393">
        <v>1</v>
      </c>
    </row>
    <row r="394" spans="1:16" x14ac:dyDescent="0.3">
      <c r="A394" s="3" t="s">
        <v>419</v>
      </c>
      <c r="B394" s="3">
        <v>45306</v>
      </c>
      <c r="C394">
        <v>2024</v>
      </c>
      <c r="D394" t="str">
        <f t="shared" si="18"/>
        <v>January</v>
      </c>
      <c r="E394" t="str">
        <f t="shared" si="19"/>
        <v>Monday</v>
      </c>
      <c r="F394" s="4">
        <v>0.20347222222222222</v>
      </c>
      <c r="G394" s="4" t="str">
        <f t="shared" si="20"/>
        <v>4:00 AM – 5:00 AM</v>
      </c>
      <c r="H394">
        <v>149</v>
      </c>
      <c r="I394">
        <v>111</v>
      </c>
      <c r="J394">
        <v>4</v>
      </c>
      <c r="K394">
        <v>46</v>
      </c>
      <c r="L394">
        <v>1</v>
      </c>
      <c r="M394">
        <v>0</v>
      </c>
      <c r="N394">
        <v>0</v>
      </c>
      <c r="O394">
        <v>46</v>
      </c>
      <c r="P394">
        <v>7</v>
      </c>
    </row>
    <row r="395" spans="1:16" x14ac:dyDescent="0.3">
      <c r="A395" s="3" t="s">
        <v>430</v>
      </c>
      <c r="B395" s="3">
        <v>45295</v>
      </c>
      <c r="C395">
        <v>2024</v>
      </c>
      <c r="D395" t="str">
        <f t="shared" si="18"/>
        <v>January</v>
      </c>
      <c r="E395" t="str">
        <f t="shared" si="19"/>
        <v>Thursday</v>
      </c>
      <c r="F395" s="4">
        <v>0.38680555555555557</v>
      </c>
      <c r="G395" s="4" t="str">
        <f t="shared" si="20"/>
        <v>9:00 AM – 10:00 AM</v>
      </c>
      <c r="H395">
        <v>138</v>
      </c>
      <c r="I395">
        <v>58</v>
      </c>
      <c r="J395">
        <v>4</v>
      </c>
      <c r="K395">
        <v>47</v>
      </c>
      <c r="L395">
        <v>1</v>
      </c>
      <c r="M395">
        <v>0</v>
      </c>
      <c r="N395">
        <v>0</v>
      </c>
      <c r="O395">
        <v>49</v>
      </c>
      <c r="P395">
        <v>1</v>
      </c>
    </row>
    <row r="396" spans="1:16" x14ac:dyDescent="0.3">
      <c r="A396" s="3" t="s">
        <v>15</v>
      </c>
      <c r="B396" s="3">
        <v>45709</v>
      </c>
      <c r="C396">
        <v>2025</v>
      </c>
      <c r="D396" t="str">
        <f t="shared" si="18"/>
        <v>February</v>
      </c>
      <c r="E396" t="str">
        <f t="shared" si="19"/>
        <v>Friday</v>
      </c>
      <c r="F396" s="4">
        <v>0.7055555555555556</v>
      </c>
      <c r="G396" s="4" t="str">
        <f t="shared" si="20"/>
        <v>4:00 PM – 5:00 PM</v>
      </c>
      <c r="H396">
        <v>553</v>
      </c>
      <c r="I396">
        <v>1289</v>
      </c>
      <c r="J396">
        <v>3</v>
      </c>
      <c r="K396">
        <v>27</v>
      </c>
      <c r="L396">
        <v>1</v>
      </c>
      <c r="M396">
        <v>1</v>
      </c>
      <c r="N396">
        <v>1</v>
      </c>
      <c r="O396">
        <v>26</v>
      </c>
      <c r="P396">
        <v>0</v>
      </c>
    </row>
    <row r="397" spans="1:16" x14ac:dyDescent="0.3">
      <c r="A397" s="3" t="s">
        <v>39</v>
      </c>
      <c r="B397" s="3">
        <v>45685</v>
      </c>
      <c r="C397">
        <v>2025</v>
      </c>
      <c r="D397" t="str">
        <f t="shared" si="18"/>
        <v>January</v>
      </c>
      <c r="E397" t="str">
        <f t="shared" si="19"/>
        <v>Tuesday</v>
      </c>
      <c r="F397" s="4">
        <v>0.63888888888888884</v>
      </c>
      <c r="G397" s="4" t="str">
        <f t="shared" si="20"/>
        <v>3:00 PM – 4:00 PM</v>
      </c>
      <c r="H397">
        <v>529</v>
      </c>
      <c r="I397">
        <v>1292</v>
      </c>
      <c r="J397">
        <v>3</v>
      </c>
      <c r="K397">
        <v>40</v>
      </c>
      <c r="L397">
        <v>2</v>
      </c>
      <c r="M397">
        <v>0</v>
      </c>
      <c r="N397">
        <v>0</v>
      </c>
      <c r="O397">
        <v>39</v>
      </c>
      <c r="P397">
        <v>0</v>
      </c>
    </row>
    <row r="398" spans="1:16" x14ac:dyDescent="0.3">
      <c r="A398" s="3" t="s">
        <v>53</v>
      </c>
      <c r="B398" s="3">
        <v>45671</v>
      </c>
      <c r="C398">
        <v>2025</v>
      </c>
      <c r="D398" t="str">
        <f t="shared" si="18"/>
        <v>January</v>
      </c>
      <c r="E398" t="str">
        <f t="shared" si="19"/>
        <v>Tuesday</v>
      </c>
      <c r="F398" s="4">
        <v>0.59583333333333333</v>
      </c>
      <c r="G398" s="4" t="str">
        <f t="shared" si="20"/>
        <v>2:00 PM – 3:00 PM</v>
      </c>
      <c r="H398">
        <v>515</v>
      </c>
      <c r="I398">
        <v>1274</v>
      </c>
      <c r="J398">
        <v>3</v>
      </c>
      <c r="K398">
        <v>133</v>
      </c>
      <c r="L398">
        <v>1</v>
      </c>
      <c r="M398">
        <v>0</v>
      </c>
      <c r="N398">
        <v>0</v>
      </c>
      <c r="O398">
        <v>135</v>
      </c>
      <c r="P398">
        <v>-1</v>
      </c>
    </row>
    <row r="399" spans="1:16" x14ac:dyDescent="0.3">
      <c r="A399" s="3" t="s">
        <v>56</v>
      </c>
      <c r="B399" s="3">
        <v>45668</v>
      </c>
      <c r="C399">
        <v>2025</v>
      </c>
      <c r="D399" t="str">
        <f t="shared" si="18"/>
        <v>January</v>
      </c>
      <c r="E399" t="str">
        <f t="shared" si="19"/>
        <v>Saturday</v>
      </c>
      <c r="F399" s="4">
        <v>0.45347222222222222</v>
      </c>
      <c r="G399" s="4" t="str">
        <f t="shared" si="20"/>
        <v>10:00 AM – 11:00 AM</v>
      </c>
      <c r="H399">
        <v>512</v>
      </c>
      <c r="I399">
        <v>1276</v>
      </c>
      <c r="J399">
        <v>3</v>
      </c>
      <c r="K399">
        <v>165</v>
      </c>
      <c r="L399">
        <v>1</v>
      </c>
      <c r="M399">
        <v>1</v>
      </c>
      <c r="N399">
        <v>3</v>
      </c>
      <c r="O399">
        <v>166</v>
      </c>
      <c r="P399">
        <v>-3</v>
      </c>
    </row>
    <row r="400" spans="1:16" x14ac:dyDescent="0.3">
      <c r="A400" s="3" t="s">
        <v>147</v>
      </c>
      <c r="B400" s="3">
        <v>45577</v>
      </c>
      <c r="C400">
        <v>2024</v>
      </c>
      <c r="D400" t="str">
        <f t="shared" si="18"/>
        <v>October</v>
      </c>
      <c r="E400" t="str">
        <f t="shared" si="19"/>
        <v>Saturday</v>
      </c>
      <c r="F400" s="4">
        <v>0.4513888888888889</v>
      </c>
      <c r="G400" s="4" t="str">
        <f t="shared" si="20"/>
        <v>10:00 AM – 11:00 AM</v>
      </c>
      <c r="H400">
        <v>421</v>
      </c>
      <c r="I400">
        <v>740</v>
      </c>
      <c r="J400">
        <v>3</v>
      </c>
      <c r="K400">
        <v>171</v>
      </c>
      <c r="L400">
        <v>1</v>
      </c>
      <c r="M400">
        <v>0</v>
      </c>
      <c r="N400">
        <v>0</v>
      </c>
      <c r="O400">
        <v>171</v>
      </c>
      <c r="P400">
        <v>0</v>
      </c>
    </row>
    <row r="401" spans="1:16" x14ac:dyDescent="0.3">
      <c r="A401" s="3" t="s">
        <v>185</v>
      </c>
      <c r="B401" s="3">
        <v>45539</v>
      </c>
      <c r="C401">
        <v>2024</v>
      </c>
      <c r="D401" t="str">
        <f t="shared" si="18"/>
        <v>September</v>
      </c>
      <c r="E401" t="str">
        <f t="shared" si="19"/>
        <v>Wednesday</v>
      </c>
      <c r="F401" s="4">
        <v>0.47430555555555554</v>
      </c>
      <c r="G401" s="4" t="str">
        <f t="shared" si="20"/>
        <v>11:00 AM – 12:00 PM</v>
      </c>
      <c r="H401">
        <v>383</v>
      </c>
      <c r="I401">
        <v>604</v>
      </c>
      <c r="J401">
        <v>3</v>
      </c>
      <c r="K401">
        <v>98</v>
      </c>
      <c r="L401">
        <v>1</v>
      </c>
      <c r="M401">
        <v>3</v>
      </c>
      <c r="N401">
        <v>2</v>
      </c>
      <c r="O401">
        <v>99</v>
      </c>
      <c r="P401">
        <v>5</v>
      </c>
    </row>
    <row r="402" spans="1:16" x14ac:dyDescent="0.3">
      <c r="A402" s="3" t="s">
        <v>198</v>
      </c>
      <c r="B402" s="3">
        <v>45526</v>
      </c>
      <c r="C402">
        <v>2024</v>
      </c>
      <c r="D402" t="str">
        <f t="shared" si="18"/>
        <v>August</v>
      </c>
      <c r="E402" t="str">
        <f t="shared" si="19"/>
        <v>Thursday</v>
      </c>
      <c r="F402" s="4">
        <v>0.28263888888888888</v>
      </c>
      <c r="G402" s="4" t="str">
        <f t="shared" si="20"/>
        <v>6:00 AM – 7:00 AM</v>
      </c>
      <c r="H402">
        <v>370</v>
      </c>
      <c r="I402">
        <v>575</v>
      </c>
      <c r="J402">
        <v>3</v>
      </c>
      <c r="K402">
        <v>60</v>
      </c>
      <c r="L402">
        <v>1</v>
      </c>
      <c r="M402">
        <v>0</v>
      </c>
      <c r="N402">
        <v>2</v>
      </c>
      <c r="O402">
        <v>61</v>
      </c>
      <c r="P402">
        <v>3</v>
      </c>
    </row>
    <row r="403" spans="1:16" x14ac:dyDescent="0.3">
      <c r="A403" s="3" t="s">
        <v>205</v>
      </c>
      <c r="B403" s="3">
        <v>45519</v>
      </c>
      <c r="C403">
        <v>2024</v>
      </c>
      <c r="D403" t="str">
        <f t="shared" si="18"/>
        <v>August</v>
      </c>
      <c r="E403" t="str">
        <f t="shared" si="19"/>
        <v>Thursday</v>
      </c>
      <c r="F403" s="4">
        <v>0.30277777777777776</v>
      </c>
      <c r="G403" s="4" t="str">
        <f t="shared" si="20"/>
        <v>7:00 AM – 8:00 AM</v>
      </c>
      <c r="H403">
        <v>363</v>
      </c>
      <c r="I403">
        <v>569</v>
      </c>
      <c r="J403">
        <v>3</v>
      </c>
      <c r="K403">
        <v>51</v>
      </c>
      <c r="L403">
        <v>1</v>
      </c>
      <c r="M403">
        <v>0</v>
      </c>
      <c r="N403">
        <v>0</v>
      </c>
      <c r="O403">
        <v>50</v>
      </c>
      <c r="P403">
        <v>1</v>
      </c>
    </row>
    <row r="404" spans="1:16" x14ac:dyDescent="0.3">
      <c r="A404" s="3" t="s">
        <v>246</v>
      </c>
      <c r="B404" s="3">
        <v>45478</v>
      </c>
      <c r="C404">
        <v>2024</v>
      </c>
      <c r="D404" t="str">
        <f t="shared" si="18"/>
        <v>July</v>
      </c>
      <c r="E404" t="str">
        <f t="shared" si="19"/>
        <v>Friday</v>
      </c>
      <c r="F404" s="4">
        <v>0.27361111111111114</v>
      </c>
      <c r="G404" s="4" t="str">
        <f t="shared" si="20"/>
        <v>6:00 AM – 7:00 AM</v>
      </c>
      <c r="H404">
        <v>322</v>
      </c>
      <c r="I404">
        <v>573</v>
      </c>
      <c r="J404">
        <v>3</v>
      </c>
      <c r="K404">
        <v>183</v>
      </c>
      <c r="L404">
        <v>1</v>
      </c>
      <c r="M404">
        <v>0</v>
      </c>
      <c r="N404">
        <v>1</v>
      </c>
      <c r="O404">
        <v>150</v>
      </c>
      <c r="P404">
        <v>1</v>
      </c>
    </row>
    <row r="405" spans="1:16" x14ac:dyDescent="0.3">
      <c r="A405" s="3" t="s">
        <v>273</v>
      </c>
      <c r="B405" s="3">
        <v>45451</v>
      </c>
      <c r="C405">
        <v>2024</v>
      </c>
      <c r="D405" t="str">
        <f t="shared" si="18"/>
        <v>June</v>
      </c>
      <c r="E405" t="str">
        <f t="shared" si="19"/>
        <v>Saturday</v>
      </c>
      <c r="F405" s="4">
        <v>0.27708333333333335</v>
      </c>
      <c r="G405" s="4" t="str">
        <f t="shared" si="20"/>
        <v>6:00 AM – 7:00 AM</v>
      </c>
      <c r="H405">
        <v>295</v>
      </c>
      <c r="I405">
        <v>514</v>
      </c>
      <c r="J405">
        <v>3</v>
      </c>
      <c r="K405">
        <v>81</v>
      </c>
      <c r="L405">
        <v>1</v>
      </c>
      <c r="M405">
        <v>0</v>
      </c>
      <c r="N405">
        <v>0</v>
      </c>
      <c r="O405">
        <v>92</v>
      </c>
      <c r="P405">
        <v>1</v>
      </c>
    </row>
    <row r="406" spans="1:16" x14ac:dyDescent="0.3">
      <c r="A406" s="3" t="s">
        <v>283</v>
      </c>
      <c r="B406" s="3">
        <v>45441</v>
      </c>
      <c r="C406">
        <v>2024</v>
      </c>
      <c r="D406" t="str">
        <f t="shared" si="18"/>
        <v>May</v>
      </c>
      <c r="E406" t="str">
        <f t="shared" si="19"/>
        <v>Wednesday</v>
      </c>
      <c r="F406" s="4">
        <v>0.29166666666666669</v>
      </c>
      <c r="G406" s="4" t="str">
        <f t="shared" si="20"/>
        <v>7:00 AM – 8:00 AM</v>
      </c>
      <c r="H406">
        <v>285</v>
      </c>
      <c r="I406">
        <v>509</v>
      </c>
      <c r="J406">
        <v>3</v>
      </c>
      <c r="K406">
        <v>82</v>
      </c>
      <c r="L406">
        <v>1</v>
      </c>
      <c r="M406">
        <v>0</v>
      </c>
      <c r="N406">
        <v>0</v>
      </c>
      <c r="O406">
        <v>86</v>
      </c>
      <c r="P406">
        <v>0</v>
      </c>
    </row>
    <row r="407" spans="1:16" x14ac:dyDescent="0.3">
      <c r="A407" s="3" t="s">
        <v>292</v>
      </c>
      <c r="B407" s="3">
        <v>45432</v>
      </c>
      <c r="C407">
        <v>2024</v>
      </c>
      <c r="D407" t="str">
        <f t="shared" si="18"/>
        <v>May</v>
      </c>
      <c r="E407" t="str">
        <f t="shared" si="19"/>
        <v>Monday</v>
      </c>
      <c r="F407" s="4">
        <v>0.24374999999999999</v>
      </c>
      <c r="G407" s="4" t="str">
        <f t="shared" si="20"/>
        <v>5:00 AM – 6:00 AM</v>
      </c>
      <c r="H407">
        <v>276</v>
      </c>
      <c r="I407">
        <v>498</v>
      </c>
      <c r="J407">
        <v>3</v>
      </c>
      <c r="K407">
        <v>67</v>
      </c>
      <c r="L407">
        <v>1</v>
      </c>
      <c r="M407">
        <v>0</v>
      </c>
      <c r="N407">
        <v>1</v>
      </c>
      <c r="O407">
        <v>72</v>
      </c>
      <c r="P407">
        <v>3</v>
      </c>
    </row>
    <row r="408" spans="1:16" x14ac:dyDescent="0.3">
      <c r="A408" s="3" t="s">
        <v>318</v>
      </c>
      <c r="B408" s="3">
        <v>45406</v>
      </c>
      <c r="C408">
        <v>2024</v>
      </c>
      <c r="D408" t="str">
        <f t="shared" si="18"/>
        <v>April</v>
      </c>
      <c r="E408" t="str">
        <f t="shared" si="19"/>
        <v>Wednesday</v>
      </c>
      <c r="F408" s="4">
        <v>0.34305555555555556</v>
      </c>
      <c r="G408" s="4" t="str">
        <f t="shared" si="20"/>
        <v>8:00 AM – 9:00 AM</v>
      </c>
      <c r="H408">
        <v>250</v>
      </c>
      <c r="I408">
        <v>452</v>
      </c>
      <c r="J408">
        <v>3</v>
      </c>
      <c r="K408">
        <v>109</v>
      </c>
      <c r="L408">
        <v>1</v>
      </c>
      <c r="M408">
        <v>1</v>
      </c>
      <c r="N408">
        <v>0</v>
      </c>
      <c r="O408">
        <v>112</v>
      </c>
      <c r="P408">
        <v>0</v>
      </c>
    </row>
    <row r="409" spans="1:16" x14ac:dyDescent="0.3">
      <c r="A409" s="3" t="s">
        <v>325</v>
      </c>
      <c r="B409" s="3">
        <v>45399</v>
      </c>
      <c r="C409">
        <v>2024</v>
      </c>
      <c r="D409" t="str">
        <f t="shared" si="18"/>
        <v>April</v>
      </c>
      <c r="E409" t="str">
        <f t="shared" si="19"/>
        <v>Wednesday</v>
      </c>
      <c r="F409" s="4">
        <v>0.37847222222222221</v>
      </c>
      <c r="G409" s="4" t="str">
        <f t="shared" si="20"/>
        <v>9:00 AM – 10:00 AM</v>
      </c>
      <c r="H409">
        <v>243</v>
      </c>
      <c r="I409">
        <v>436</v>
      </c>
      <c r="J409">
        <v>3</v>
      </c>
      <c r="K409">
        <v>131</v>
      </c>
      <c r="L409">
        <v>1</v>
      </c>
      <c r="M409">
        <v>0</v>
      </c>
      <c r="N409">
        <v>2</v>
      </c>
      <c r="O409">
        <v>138</v>
      </c>
      <c r="P409">
        <v>6</v>
      </c>
    </row>
    <row r="410" spans="1:16" x14ac:dyDescent="0.3">
      <c r="A410" s="3" t="s">
        <v>377</v>
      </c>
      <c r="B410" s="3">
        <v>45348</v>
      </c>
      <c r="C410">
        <v>2024</v>
      </c>
      <c r="D410" t="str">
        <f t="shared" si="18"/>
        <v>February</v>
      </c>
      <c r="E410" t="str">
        <f t="shared" si="19"/>
        <v>Monday</v>
      </c>
      <c r="F410" s="4">
        <v>0.18333333333333332</v>
      </c>
      <c r="G410" s="4" t="str">
        <f t="shared" si="20"/>
        <v>4:00 AM – 5:00 AM</v>
      </c>
      <c r="H410">
        <v>191</v>
      </c>
      <c r="I410">
        <v>131</v>
      </c>
      <c r="J410">
        <v>3</v>
      </c>
      <c r="K410">
        <v>78</v>
      </c>
      <c r="L410">
        <v>1</v>
      </c>
      <c r="M410">
        <v>0</v>
      </c>
      <c r="N410">
        <v>1</v>
      </c>
      <c r="O410">
        <v>78</v>
      </c>
      <c r="P410">
        <v>1</v>
      </c>
    </row>
    <row r="411" spans="1:16" x14ac:dyDescent="0.3">
      <c r="A411" s="3" t="s">
        <v>385</v>
      </c>
      <c r="B411" s="3">
        <v>45340</v>
      </c>
      <c r="C411">
        <v>2024</v>
      </c>
      <c r="D411" t="str">
        <f t="shared" si="18"/>
        <v>February</v>
      </c>
      <c r="E411" t="str">
        <f t="shared" si="19"/>
        <v>Sunday</v>
      </c>
      <c r="F411" s="4">
        <v>0.15138888888888888</v>
      </c>
      <c r="G411" s="4" t="str">
        <f t="shared" si="20"/>
        <v>3:00 AM – 4:00 AM</v>
      </c>
      <c r="H411">
        <v>183</v>
      </c>
      <c r="I411">
        <v>125</v>
      </c>
      <c r="J411">
        <v>3</v>
      </c>
      <c r="K411">
        <v>66</v>
      </c>
      <c r="L411">
        <v>1</v>
      </c>
      <c r="M411">
        <v>3</v>
      </c>
      <c r="N411">
        <v>4</v>
      </c>
      <c r="O411">
        <v>79</v>
      </c>
      <c r="P411">
        <v>-1</v>
      </c>
    </row>
    <row r="412" spans="1:16" x14ac:dyDescent="0.3">
      <c r="A412" s="3" t="s">
        <v>391</v>
      </c>
      <c r="B412" s="3">
        <v>45334</v>
      </c>
      <c r="C412">
        <v>2024</v>
      </c>
      <c r="D412" t="str">
        <f t="shared" si="18"/>
        <v>February</v>
      </c>
      <c r="E412" t="str">
        <f t="shared" si="19"/>
        <v>Monday</v>
      </c>
      <c r="F412" s="4">
        <v>0.20277777777777778</v>
      </c>
      <c r="G412" s="4" t="str">
        <f t="shared" si="20"/>
        <v>4:00 AM – 5:00 AM</v>
      </c>
      <c r="H412">
        <v>177</v>
      </c>
      <c r="I412">
        <v>124</v>
      </c>
      <c r="J412">
        <v>3</v>
      </c>
      <c r="K412">
        <v>61</v>
      </c>
      <c r="L412">
        <v>2</v>
      </c>
      <c r="M412">
        <v>0</v>
      </c>
      <c r="N412">
        <v>0</v>
      </c>
      <c r="O412">
        <v>61</v>
      </c>
      <c r="P412">
        <v>0</v>
      </c>
    </row>
    <row r="413" spans="1:16" x14ac:dyDescent="0.3">
      <c r="A413" s="3" t="s">
        <v>431</v>
      </c>
      <c r="B413" s="3">
        <v>45294</v>
      </c>
      <c r="C413">
        <v>2024</v>
      </c>
      <c r="D413" t="str">
        <f t="shared" si="18"/>
        <v>January</v>
      </c>
      <c r="E413" t="str">
        <f t="shared" si="19"/>
        <v>Wednesday</v>
      </c>
      <c r="F413" s="4">
        <v>0.19722222222222222</v>
      </c>
      <c r="G413" s="4" t="str">
        <f t="shared" si="20"/>
        <v>4:00 AM – 5:00 AM</v>
      </c>
      <c r="H413">
        <v>137</v>
      </c>
      <c r="I413">
        <v>57</v>
      </c>
      <c r="J413">
        <v>3</v>
      </c>
      <c r="K413">
        <v>52</v>
      </c>
      <c r="L413">
        <v>1</v>
      </c>
      <c r="M413">
        <v>0</v>
      </c>
      <c r="N413">
        <v>0</v>
      </c>
      <c r="O413">
        <v>50</v>
      </c>
      <c r="P413">
        <v>3</v>
      </c>
    </row>
    <row r="414" spans="1:16" x14ac:dyDescent="0.3">
      <c r="A414" s="3" t="s">
        <v>17</v>
      </c>
      <c r="B414" s="3">
        <v>45707</v>
      </c>
      <c r="C414">
        <v>2025</v>
      </c>
      <c r="D414" t="str">
        <f t="shared" si="18"/>
        <v>February</v>
      </c>
      <c r="E414" t="str">
        <f t="shared" si="19"/>
        <v>Wednesday</v>
      </c>
      <c r="F414" s="4">
        <v>0.82986111111111116</v>
      </c>
      <c r="G414" s="4" t="str">
        <f t="shared" si="20"/>
        <v>7:00 PM – 8:00 PM</v>
      </c>
      <c r="H414">
        <v>551</v>
      </c>
      <c r="I414">
        <v>1288</v>
      </c>
      <c r="J414">
        <v>2</v>
      </c>
      <c r="K414">
        <v>124</v>
      </c>
      <c r="L414">
        <v>1</v>
      </c>
      <c r="M414">
        <v>0</v>
      </c>
      <c r="N414">
        <v>0</v>
      </c>
      <c r="O414">
        <v>123</v>
      </c>
      <c r="P414">
        <v>-1</v>
      </c>
    </row>
    <row r="415" spans="1:16" x14ac:dyDescent="0.3">
      <c r="A415" s="3" t="s">
        <v>84</v>
      </c>
      <c r="B415" s="3">
        <v>45640</v>
      </c>
      <c r="C415">
        <v>2024</v>
      </c>
      <c r="D415" t="str">
        <f t="shared" si="18"/>
        <v>December</v>
      </c>
      <c r="E415" t="str">
        <f t="shared" si="19"/>
        <v>Saturday</v>
      </c>
      <c r="F415" s="4">
        <v>0.30138888888888887</v>
      </c>
      <c r="G415" s="4" t="str">
        <f t="shared" si="20"/>
        <v>7:00 AM – 8:00 AM</v>
      </c>
      <c r="H415">
        <v>484</v>
      </c>
      <c r="I415">
        <v>790</v>
      </c>
      <c r="J415">
        <v>2</v>
      </c>
      <c r="K415">
        <v>531</v>
      </c>
      <c r="L415">
        <v>2</v>
      </c>
      <c r="M415">
        <v>0</v>
      </c>
      <c r="N415">
        <v>0</v>
      </c>
      <c r="O415">
        <v>528</v>
      </c>
      <c r="P415">
        <v>1</v>
      </c>
    </row>
    <row r="416" spans="1:16" x14ac:dyDescent="0.3">
      <c r="A416" s="3" t="s">
        <v>203</v>
      </c>
      <c r="B416" s="3">
        <v>45521</v>
      </c>
      <c r="C416">
        <v>2024</v>
      </c>
      <c r="D416" t="str">
        <f t="shared" si="18"/>
        <v>August</v>
      </c>
      <c r="E416" t="str">
        <f t="shared" si="19"/>
        <v>Saturday</v>
      </c>
      <c r="F416" s="4">
        <v>0.28402777777777777</v>
      </c>
      <c r="G416" s="4" t="str">
        <f t="shared" si="20"/>
        <v>6:00 AM – 7:00 AM</v>
      </c>
      <c r="H416">
        <v>365</v>
      </c>
      <c r="I416">
        <v>571</v>
      </c>
      <c r="J416">
        <v>2</v>
      </c>
      <c r="K416">
        <v>54</v>
      </c>
      <c r="L416">
        <v>1</v>
      </c>
      <c r="M416">
        <v>0</v>
      </c>
      <c r="N416">
        <v>0</v>
      </c>
      <c r="O416">
        <v>54</v>
      </c>
      <c r="P416">
        <v>1</v>
      </c>
    </row>
    <row r="417" spans="1:16" x14ac:dyDescent="0.3">
      <c r="A417" s="3" t="s">
        <v>221</v>
      </c>
      <c r="B417" s="3">
        <v>45503</v>
      </c>
      <c r="C417">
        <v>2024</v>
      </c>
      <c r="D417" t="str">
        <f t="shared" si="18"/>
        <v>July</v>
      </c>
      <c r="E417" t="str">
        <f t="shared" si="19"/>
        <v>Tuesday</v>
      </c>
      <c r="F417" s="4">
        <v>0.3034722222222222</v>
      </c>
      <c r="G417" s="4" t="str">
        <f t="shared" si="20"/>
        <v>7:00 AM – 8:00 AM</v>
      </c>
      <c r="H417">
        <v>347</v>
      </c>
      <c r="I417">
        <v>567</v>
      </c>
      <c r="J417">
        <v>2</v>
      </c>
      <c r="K417">
        <v>32</v>
      </c>
      <c r="L417">
        <v>1</v>
      </c>
      <c r="M417">
        <v>0</v>
      </c>
      <c r="N417">
        <v>1</v>
      </c>
      <c r="O417">
        <v>38</v>
      </c>
      <c r="P417">
        <v>0</v>
      </c>
    </row>
    <row r="418" spans="1:16" x14ac:dyDescent="0.3">
      <c r="A418" s="3" t="s">
        <v>227</v>
      </c>
      <c r="B418" s="3">
        <v>45497</v>
      </c>
      <c r="C418">
        <v>2024</v>
      </c>
      <c r="D418" t="str">
        <f t="shared" si="18"/>
        <v>July</v>
      </c>
      <c r="E418" t="str">
        <f t="shared" si="19"/>
        <v>Wednesday</v>
      </c>
      <c r="F418" s="4">
        <v>0.28819444444444442</v>
      </c>
      <c r="G418" s="4" t="str">
        <f t="shared" si="20"/>
        <v>6:00 AM – 7:00 AM</v>
      </c>
      <c r="H418">
        <v>341</v>
      </c>
      <c r="I418">
        <v>569</v>
      </c>
      <c r="J418">
        <v>2</v>
      </c>
      <c r="K418">
        <v>37</v>
      </c>
      <c r="L418">
        <v>1</v>
      </c>
      <c r="M418">
        <v>0</v>
      </c>
      <c r="N418">
        <v>1</v>
      </c>
      <c r="O418">
        <v>41</v>
      </c>
      <c r="P418">
        <v>1</v>
      </c>
    </row>
    <row r="419" spans="1:16" x14ac:dyDescent="0.3">
      <c r="A419" s="3" t="s">
        <v>259</v>
      </c>
      <c r="B419" s="3">
        <v>45465</v>
      </c>
      <c r="C419">
        <v>2024</v>
      </c>
      <c r="D419" t="str">
        <f t="shared" si="18"/>
        <v>June</v>
      </c>
      <c r="E419" t="str">
        <f t="shared" si="19"/>
        <v>Saturday</v>
      </c>
      <c r="F419" s="4">
        <v>0.28888888888888886</v>
      </c>
      <c r="G419" s="4" t="str">
        <f t="shared" si="20"/>
        <v>6:00 AM – 7:00 AM</v>
      </c>
      <c r="H419">
        <v>309</v>
      </c>
      <c r="I419">
        <v>522</v>
      </c>
      <c r="J419">
        <v>2</v>
      </c>
      <c r="K419">
        <v>63</v>
      </c>
      <c r="L419">
        <v>1</v>
      </c>
      <c r="M419">
        <v>0</v>
      </c>
      <c r="N419">
        <v>1</v>
      </c>
      <c r="O419">
        <v>67</v>
      </c>
      <c r="P419">
        <v>-1</v>
      </c>
    </row>
    <row r="420" spans="1:16" x14ac:dyDescent="0.3">
      <c r="A420" s="3" t="s">
        <v>271</v>
      </c>
      <c r="B420" s="3">
        <v>45453</v>
      </c>
      <c r="C420">
        <v>2024</v>
      </c>
      <c r="D420" t="str">
        <f t="shared" si="18"/>
        <v>June</v>
      </c>
      <c r="E420" t="str">
        <f t="shared" si="19"/>
        <v>Monday</v>
      </c>
      <c r="F420" s="4">
        <v>0.2722222222222222</v>
      </c>
      <c r="G420" s="4" t="str">
        <f t="shared" si="20"/>
        <v>6:00 AM – 7:00 AM</v>
      </c>
      <c r="H420">
        <v>297</v>
      </c>
      <c r="I420">
        <v>517</v>
      </c>
      <c r="J420">
        <v>2</v>
      </c>
      <c r="K420">
        <v>151</v>
      </c>
      <c r="L420">
        <v>1</v>
      </c>
      <c r="M420">
        <v>0</v>
      </c>
      <c r="N420">
        <v>0</v>
      </c>
      <c r="O420">
        <v>168</v>
      </c>
      <c r="P420">
        <v>1</v>
      </c>
    </row>
    <row r="421" spans="1:16" x14ac:dyDescent="0.3">
      <c r="A421" s="3" t="s">
        <v>367</v>
      </c>
      <c r="B421" s="3">
        <v>45358</v>
      </c>
      <c r="C421">
        <v>2024</v>
      </c>
      <c r="D421" t="str">
        <f t="shared" si="18"/>
        <v>March</v>
      </c>
      <c r="E421" t="str">
        <f t="shared" si="19"/>
        <v>Thursday</v>
      </c>
      <c r="F421" s="4">
        <v>0.22152777777777777</v>
      </c>
      <c r="G421" s="4" t="str">
        <f t="shared" si="20"/>
        <v>5:00 AM – 6:00 AM</v>
      </c>
      <c r="H421">
        <v>201</v>
      </c>
      <c r="I421">
        <v>134</v>
      </c>
      <c r="J421">
        <v>2</v>
      </c>
      <c r="K421">
        <v>94</v>
      </c>
      <c r="L421">
        <v>1</v>
      </c>
      <c r="M421">
        <v>0</v>
      </c>
      <c r="N421">
        <v>0</v>
      </c>
      <c r="O421">
        <v>95</v>
      </c>
      <c r="P421">
        <v>2</v>
      </c>
    </row>
    <row r="422" spans="1:16" x14ac:dyDescent="0.3">
      <c r="A422" s="3" t="s">
        <v>368</v>
      </c>
      <c r="B422" s="3">
        <v>45357</v>
      </c>
      <c r="C422">
        <v>2024</v>
      </c>
      <c r="D422" t="str">
        <f t="shared" si="18"/>
        <v>March</v>
      </c>
      <c r="E422" t="str">
        <f t="shared" si="19"/>
        <v>Wednesday</v>
      </c>
      <c r="F422" s="4">
        <v>0.16805555555555557</v>
      </c>
      <c r="G422" s="4" t="str">
        <f t="shared" si="20"/>
        <v>4:00 AM – 5:00 AM</v>
      </c>
      <c r="H422">
        <v>200</v>
      </c>
      <c r="I422">
        <v>132</v>
      </c>
      <c r="J422">
        <v>2</v>
      </c>
      <c r="K422">
        <v>201</v>
      </c>
      <c r="L422">
        <v>1</v>
      </c>
      <c r="M422">
        <v>0</v>
      </c>
      <c r="N422">
        <v>0</v>
      </c>
      <c r="O422">
        <v>197</v>
      </c>
      <c r="P422">
        <v>0</v>
      </c>
    </row>
    <row r="423" spans="1:16" x14ac:dyDescent="0.3">
      <c r="A423" s="3" t="s">
        <v>374</v>
      </c>
      <c r="B423" s="3">
        <v>45351</v>
      </c>
      <c r="C423">
        <v>2024</v>
      </c>
      <c r="D423" t="str">
        <f t="shared" si="18"/>
        <v>February</v>
      </c>
      <c r="E423" t="str">
        <f t="shared" si="19"/>
        <v>Thursday</v>
      </c>
      <c r="F423" s="4">
        <v>0.17083333333333334</v>
      </c>
      <c r="G423" s="4" t="str">
        <f t="shared" si="20"/>
        <v>4:00 AM – 5:00 AM</v>
      </c>
      <c r="H423">
        <v>194</v>
      </c>
      <c r="I423">
        <v>131</v>
      </c>
      <c r="J423">
        <v>2</v>
      </c>
      <c r="K423">
        <v>81</v>
      </c>
      <c r="L423">
        <v>1</v>
      </c>
      <c r="M423">
        <v>0</v>
      </c>
      <c r="N423">
        <v>0</v>
      </c>
      <c r="O423">
        <v>78</v>
      </c>
      <c r="P423">
        <v>2</v>
      </c>
    </row>
    <row r="424" spans="1:16" x14ac:dyDescent="0.3">
      <c r="A424" s="3" t="s">
        <v>378</v>
      </c>
      <c r="B424" s="3">
        <v>45347</v>
      </c>
      <c r="C424">
        <v>2024</v>
      </c>
      <c r="D424" t="str">
        <f t="shared" si="18"/>
        <v>February</v>
      </c>
      <c r="E424" t="str">
        <f t="shared" si="19"/>
        <v>Sunday</v>
      </c>
      <c r="F424" s="4">
        <v>0.2013888888888889</v>
      </c>
      <c r="G424" s="4" t="str">
        <f t="shared" si="20"/>
        <v>4:00 AM – 5:00 AM</v>
      </c>
      <c r="H424">
        <v>190</v>
      </c>
      <c r="I424">
        <v>130</v>
      </c>
      <c r="J424">
        <v>2</v>
      </c>
      <c r="K424">
        <v>69</v>
      </c>
      <c r="L424">
        <v>1</v>
      </c>
      <c r="M424">
        <v>7</v>
      </c>
      <c r="N424">
        <v>0</v>
      </c>
      <c r="O424">
        <v>71</v>
      </c>
      <c r="P424">
        <v>0</v>
      </c>
    </row>
    <row r="425" spans="1:16" x14ac:dyDescent="0.3">
      <c r="A425" s="3" t="s">
        <v>405</v>
      </c>
      <c r="B425" s="3">
        <v>45320</v>
      </c>
      <c r="C425">
        <v>2024</v>
      </c>
      <c r="D425" t="str">
        <f t="shared" si="18"/>
        <v>January</v>
      </c>
      <c r="E425" t="str">
        <f t="shared" si="19"/>
        <v>Monday</v>
      </c>
      <c r="F425" s="4">
        <v>0.10972222222222222</v>
      </c>
      <c r="G425" s="4" t="str">
        <f t="shared" si="20"/>
        <v>2:00 AM – 3:00 AM</v>
      </c>
      <c r="H425">
        <v>163</v>
      </c>
      <c r="I425">
        <v>121</v>
      </c>
      <c r="J425">
        <v>2</v>
      </c>
      <c r="K425">
        <v>39</v>
      </c>
      <c r="L425">
        <v>1</v>
      </c>
      <c r="M425">
        <v>0</v>
      </c>
      <c r="N425">
        <v>0</v>
      </c>
      <c r="O425">
        <v>38</v>
      </c>
      <c r="P425">
        <v>0</v>
      </c>
    </row>
    <row r="426" spans="1:16" x14ac:dyDescent="0.3">
      <c r="A426" s="3" t="s">
        <v>416</v>
      </c>
      <c r="B426" s="3">
        <v>45309</v>
      </c>
      <c r="C426">
        <v>2024</v>
      </c>
      <c r="D426" t="str">
        <f t="shared" si="18"/>
        <v>January</v>
      </c>
      <c r="E426" t="str">
        <f t="shared" si="19"/>
        <v>Thursday</v>
      </c>
      <c r="F426" s="4">
        <v>0.19930555555555557</v>
      </c>
      <c r="G426" s="4" t="str">
        <f t="shared" si="20"/>
        <v>4:00 AM – 5:00 AM</v>
      </c>
      <c r="H426">
        <v>152</v>
      </c>
      <c r="I426">
        <v>114</v>
      </c>
      <c r="J426">
        <v>2</v>
      </c>
      <c r="K426">
        <v>26</v>
      </c>
      <c r="L426">
        <v>1</v>
      </c>
      <c r="M426">
        <v>0</v>
      </c>
      <c r="N426">
        <v>0</v>
      </c>
      <c r="O426">
        <v>27</v>
      </c>
      <c r="P426">
        <v>1</v>
      </c>
    </row>
    <row r="427" spans="1:16" x14ac:dyDescent="0.3">
      <c r="A427" s="3" t="s">
        <v>425</v>
      </c>
      <c r="B427" s="3">
        <v>45300</v>
      </c>
      <c r="C427">
        <v>2024</v>
      </c>
      <c r="D427" t="str">
        <f t="shared" si="18"/>
        <v>January</v>
      </c>
      <c r="E427" t="str">
        <f t="shared" si="19"/>
        <v>Tuesday</v>
      </c>
      <c r="F427" s="4">
        <v>0.14583333333333334</v>
      </c>
      <c r="G427" s="4" t="str">
        <f t="shared" si="20"/>
        <v>3:00 AM – 4:00 AM</v>
      </c>
      <c r="H427">
        <v>143</v>
      </c>
      <c r="I427">
        <v>67</v>
      </c>
      <c r="J427">
        <v>2</v>
      </c>
      <c r="K427">
        <v>60</v>
      </c>
      <c r="L427">
        <v>1</v>
      </c>
      <c r="M427">
        <v>1</v>
      </c>
      <c r="N427">
        <v>0</v>
      </c>
      <c r="O427">
        <v>61</v>
      </c>
      <c r="P427">
        <v>0</v>
      </c>
    </row>
    <row r="428" spans="1:16" x14ac:dyDescent="0.3">
      <c r="A428" s="3" t="s">
        <v>426</v>
      </c>
      <c r="B428" s="3">
        <v>45299</v>
      </c>
      <c r="C428">
        <v>2024</v>
      </c>
      <c r="D428" t="str">
        <f t="shared" si="18"/>
        <v>January</v>
      </c>
      <c r="E428" t="str">
        <f t="shared" si="19"/>
        <v>Monday</v>
      </c>
      <c r="F428" s="4">
        <v>0.18958333333333333</v>
      </c>
      <c r="G428" s="4" t="str">
        <f t="shared" si="20"/>
        <v>4:00 AM – 5:00 AM</v>
      </c>
      <c r="H428">
        <v>142</v>
      </c>
      <c r="I428">
        <v>67</v>
      </c>
      <c r="J428">
        <v>2</v>
      </c>
      <c r="K428">
        <v>58</v>
      </c>
      <c r="L428">
        <v>1</v>
      </c>
      <c r="M428">
        <v>1</v>
      </c>
      <c r="N428">
        <v>0</v>
      </c>
      <c r="O428">
        <v>60</v>
      </c>
      <c r="P428">
        <v>3</v>
      </c>
    </row>
    <row r="429" spans="1:16" x14ac:dyDescent="0.3">
      <c r="A429" s="3" t="s">
        <v>432</v>
      </c>
      <c r="B429" s="3">
        <v>45293</v>
      </c>
      <c r="C429">
        <v>2024</v>
      </c>
      <c r="D429" t="str">
        <f t="shared" si="18"/>
        <v>January</v>
      </c>
      <c r="E429" t="str">
        <f t="shared" si="19"/>
        <v>Tuesday</v>
      </c>
      <c r="F429" s="4">
        <v>0.19652777777777777</v>
      </c>
      <c r="G429" s="4" t="str">
        <f t="shared" si="20"/>
        <v>4:00 AM – 5:00 AM</v>
      </c>
      <c r="H429">
        <v>136</v>
      </c>
      <c r="I429">
        <v>54</v>
      </c>
      <c r="J429">
        <v>2</v>
      </c>
      <c r="K429">
        <v>55</v>
      </c>
      <c r="L429">
        <v>1</v>
      </c>
      <c r="M429">
        <v>2</v>
      </c>
      <c r="N429">
        <v>0</v>
      </c>
      <c r="O429">
        <v>58</v>
      </c>
      <c r="P429">
        <v>2</v>
      </c>
    </row>
    <row r="430" spans="1:16" x14ac:dyDescent="0.3">
      <c r="A430" s="3" t="s">
        <v>436</v>
      </c>
      <c r="B430" s="3">
        <v>45290</v>
      </c>
      <c r="C430">
        <v>2023</v>
      </c>
      <c r="D430" t="str">
        <f t="shared" si="18"/>
        <v>December</v>
      </c>
      <c r="E430" t="str">
        <f t="shared" si="19"/>
        <v>Saturday</v>
      </c>
      <c r="F430" s="4">
        <v>0.1701388888888889</v>
      </c>
      <c r="G430" s="4" t="str">
        <f t="shared" si="20"/>
        <v>4:00 AM – 5:00 AM</v>
      </c>
      <c r="H430">
        <v>131</v>
      </c>
      <c r="I430">
        <v>48</v>
      </c>
      <c r="J430">
        <v>2</v>
      </c>
      <c r="K430">
        <v>43</v>
      </c>
      <c r="L430">
        <v>1</v>
      </c>
      <c r="M430">
        <v>0</v>
      </c>
      <c r="N430">
        <v>1</v>
      </c>
      <c r="O430">
        <v>43</v>
      </c>
      <c r="P430">
        <v>0</v>
      </c>
    </row>
    <row r="431" spans="1:16" x14ac:dyDescent="0.3">
      <c r="A431" s="3" t="s">
        <v>438</v>
      </c>
      <c r="B431" s="3">
        <v>45288</v>
      </c>
      <c r="C431">
        <v>2023</v>
      </c>
      <c r="D431" t="str">
        <f t="shared" si="18"/>
        <v>December</v>
      </c>
      <c r="E431" t="str">
        <f t="shared" si="19"/>
        <v>Thursday</v>
      </c>
      <c r="F431" s="4">
        <v>0.2326388888888889</v>
      </c>
      <c r="G431" s="4" t="str">
        <f t="shared" si="20"/>
        <v>5:00 AM – 6:00 AM</v>
      </c>
      <c r="H431">
        <v>129</v>
      </c>
      <c r="I431">
        <v>45</v>
      </c>
      <c r="J431">
        <v>2</v>
      </c>
      <c r="K431">
        <v>39</v>
      </c>
      <c r="L431">
        <v>1</v>
      </c>
      <c r="M431">
        <v>0</v>
      </c>
      <c r="N431">
        <v>0</v>
      </c>
      <c r="O431">
        <v>40</v>
      </c>
      <c r="P431">
        <v>3</v>
      </c>
    </row>
    <row r="432" spans="1:16" x14ac:dyDescent="0.3">
      <c r="A432" s="3" t="s">
        <v>441</v>
      </c>
      <c r="B432" s="3">
        <v>45285</v>
      </c>
      <c r="C432">
        <v>2023</v>
      </c>
      <c r="D432" t="str">
        <f t="shared" si="18"/>
        <v>December</v>
      </c>
      <c r="E432" t="str">
        <f t="shared" si="19"/>
        <v>Monday</v>
      </c>
      <c r="F432" s="4">
        <v>0.20555555555555555</v>
      </c>
      <c r="G432" s="4" t="str">
        <f t="shared" si="20"/>
        <v>4:00 AM – 5:00 AM</v>
      </c>
      <c r="H432">
        <v>126</v>
      </c>
      <c r="I432">
        <v>35</v>
      </c>
      <c r="J432">
        <v>2</v>
      </c>
      <c r="K432">
        <v>46</v>
      </c>
      <c r="L432">
        <v>1</v>
      </c>
      <c r="M432">
        <v>0</v>
      </c>
      <c r="N432">
        <v>0</v>
      </c>
      <c r="O432">
        <v>48</v>
      </c>
      <c r="P432">
        <v>0</v>
      </c>
    </row>
    <row r="433" spans="1:16" x14ac:dyDescent="0.3">
      <c r="A433" s="3" t="s">
        <v>444</v>
      </c>
      <c r="B433" s="3">
        <v>45282</v>
      </c>
      <c r="C433">
        <v>2023</v>
      </c>
      <c r="D433" t="str">
        <f t="shared" si="18"/>
        <v>December</v>
      </c>
      <c r="E433" t="str">
        <f t="shared" si="19"/>
        <v>Friday</v>
      </c>
      <c r="F433" s="4">
        <v>0.12013888888888889</v>
      </c>
      <c r="G433" s="4" t="str">
        <f t="shared" si="20"/>
        <v>2:00 AM – 3:00 AM</v>
      </c>
      <c r="H433">
        <v>123</v>
      </c>
      <c r="I433">
        <v>32</v>
      </c>
      <c r="J433">
        <v>2</v>
      </c>
      <c r="K433">
        <v>50</v>
      </c>
      <c r="L433">
        <v>1</v>
      </c>
      <c r="M433">
        <v>0</v>
      </c>
      <c r="N433">
        <v>0</v>
      </c>
      <c r="O433">
        <v>50</v>
      </c>
      <c r="P433">
        <v>2</v>
      </c>
    </row>
    <row r="434" spans="1:16" x14ac:dyDescent="0.3">
      <c r="A434" s="3" t="s">
        <v>445</v>
      </c>
      <c r="B434" s="3">
        <v>45281</v>
      </c>
      <c r="C434">
        <v>2023</v>
      </c>
      <c r="D434" t="str">
        <f t="shared" si="18"/>
        <v>December</v>
      </c>
      <c r="E434" t="str">
        <f t="shared" si="19"/>
        <v>Thursday</v>
      </c>
      <c r="F434" s="4">
        <v>0.21249999999999999</v>
      </c>
      <c r="G434" s="4" t="str">
        <f t="shared" si="20"/>
        <v>5:00 AM – 6:00 AM</v>
      </c>
      <c r="H434">
        <v>122</v>
      </c>
      <c r="I434">
        <v>30</v>
      </c>
      <c r="J434">
        <v>2</v>
      </c>
      <c r="K434">
        <v>39</v>
      </c>
      <c r="L434">
        <v>1</v>
      </c>
      <c r="M434">
        <v>0</v>
      </c>
      <c r="N434">
        <v>0</v>
      </c>
      <c r="O434">
        <v>36</v>
      </c>
      <c r="P434">
        <v>0</v>
      </c>
    </row>
    <row r="435" spans="1:16" x14ac:dyDescent="0.3">
      <c r="A435" s="3" t="s">
        <v>473</v>
      </c>
      <c r="B435" s="3">
        <v>45253</v>
      </c>
      <c r="C435">
        <v>2023</v>
      </c>
      <c r="D435" t="str">
        <f t="shared" si="18"/>
        <v>November</v>
      </c>
      <c r="E435" t="str">
        <f t="shared" si="19"/>
        <v>Thursday</v>
      </c>
      <c r="F435" s="4">
        <v>0.13055555555555556</v>
      </c>
      <c r="G435" s="4" t="str">
        <f t="shared" si="20"/>
        <v>3:00 AM – 4:00 AM</v>
      </c>
      <c r="H435">
        <v>93</v>
      </c>
      <c r="I435">
        <v>29</v>
      </c>
      <c r="J435">
        <v>2</v>
      </c>
      <c r="K435">
        <v>14</v>
      </c>
      <c r="L435">
        <v>0</v>
      </c>
      <c r="M435">
        <v>0</v>
      </c>
      <c r="N435">
        <v>0</v>
      </c>
      <c r="O435">
        <v>13</v>
      </c>
      <c r="P435">
        <v>2</v>
      </c>
    </row>
    <row r="436" spans="1:16" x14ac:dyDescent="0.3">
      <c r="A436" s="3" t="s">
        <v>482</v>
      </c>
      <c r="B436" s="3">
        <v>45244</v>
      </c>
      <c r="C436">
        <v>2023</v>
      </c>
      <c r="D436" t="str">
        <f t="shared" si="18"/>
        <v>November</v>
      </c>
      <c r="E436" t="str">
        <f t="shared" si="19"/>
        <v>Tuesday</v>
      </c>
      <c r="F436" s="4">
        <v>0.11527777777777778</v>
      </c>
      <c r="G436" s="4" t="str">
        <f t="shared" si="20"/>
        <v>2:00 AM – 3:00 AM</v>
      </c>
      <c r="H436">
        <v>84</v>
      </c>
      <c r="I436">
        <v>25</v>
      </c>
      <c r="J436">
        <v>2</v>
      </c>
      <c r="K436">
        <v>14</v>
      </c>
      <c r="L436">
        <v>0</v>
      </c>
      <c r="M436">
        <v>0</v>
      </c>
      <c r="N436">
        <v>0</v>
      </c>
      <c r="O436">
        <v>14</v>
      </c>
      <c r="P436">
        <v>0</v>
      </c>
    </row>
    <row r="437" spans="1:16" x14ac:dyDescent="0.3">
      <c r="A437" s="3" t="s">
        <v>21</v>
      </c>
      <c r="B437" s="3">
        <v>45703</v>
      </c>
      <c r="C437">
        <v>2025</v>
      </c>
      <c r="D437" t="str">
        <f t="shared" si="18"/>
        <v>February</v>
      </c>
      <c r="E437" t="str">
        <f t="shared" si="19"/>
        <v>Saturday</v>
      </c>
      <c r="F437" s="4">
        <v>0.23125000000000001</v>
      </c>
      <c r="G437" s="4" t="str">
        <f t="shared" si="20"/>
        <v>5:00 AM – 6:00 AM</v>
      </c>
      <c r="H437">
        <v>547</v>
      </c>
      <c r="I437">
        <v>1290</v>
      </c>
      <c r="J437">
        <v>1</v>
      </c>
      <c r="K437">
        <v>55</v>
      </c>
      <c r="L437">
        <v>2</v>
      </c>
      <c r="M437">
        <v>22</v>
      </c>
      <c r="N437">
        <v>1</v>
      </c>
      <c r="O437">
        <v>54</v>
      </c>
      <c r="P437">
        <v>-1</v>
      </c>
    </row>
    <row r="438" spans="1:16" x14ac:dyDescent="0.3">
      <c r="A438" s="3" t="s">
        <v>22</v>
      </c>
      <c r="B438" s="3">
        <v>45702</v>
      </c>
      <c r="C438">
        <v>2025</v>
      </c>
      <c r="D438" t="str">
        <f t="shared" si="18"/>
        <v>February</v>
      </c>
      <c r="E438" t="str">
        <f t="shared" si="19"/>
        <v>Friday</v>
      </c>
      <c r="F438" s="4">
        <v>0.8256944444444444</v>
      </c>
      <c r="G438" s="4" t="str">
        <f t="shared" si="20"/>
        <v>7:00 PM – 8:00 PM</v>
      </c>
      <c r="H438">
        <v>546</v>
      </c>
      <c r="I438">
        <v>1291</v>
      </c>
      <c r="J438">
        <v>1</v>
      </c>
      <c r="K438">
        <v>99</v>
      </c>
      <c r="L438">
        <v>1</v>
      </c>
      <c r="M438">
        <v>0</v>
      </c>
      <c r="N438">
        <v>0</v>
      </c>
      <c r="O438">
        <v>101</v>
      </c>
      <c r="P438">
        <v>-2</v>
      </c>
    </row>
    <row r="439" spans="1:16" x14ac:dyDescent="0.3">
      <c r="A439" s="3" t="s">
        <v>217</v>
      </c>
      <c r="B439" s="3">
        <v>45507</v>
      </c>
      <c r="C439">
        <v>2024</v>
      </c>
      <c r="D439" t="str">
        <f t="shared" si="18"/>
        <v>August</v>
      </c>
      <c r="E439" t="str">
        <f t="shared" si="19"/>
        <v>Saturday</v>
      </c>
      <c r="F439" s="4">
        <v>0.28819444444444442</v>
      </c>
      <c r="G439" s="4" t="str">
        <f t="shared" si="20"/>
        <v>6:00 AM – 7:00 AM</v>
      </c>
      <c r="H439">
        <v>351</v>
      </c>
      <c r="I439">
        <v>565</v>
      </c>
      <c r="J439">
        <v>1</v>
      </c>
      <c r="K439">
        <v>34</v>
      </c>
      <c r="L439">
        <v>2</v>
      </c>
      <c r="M439">
        <v>0</v>
      </c>
      <c r="N439">
        <v>0</v>
      </c>
      <c r="O439">
        <v>34</v>
      </c>
      <c r="P439">
        <v>0</v>
      </c>
    </row>
    <row r="440" spans="1:16" x14ac:dyDescent="0.3">
      <c r="A440" s="3" t="s">
        <v>223</v>
      </c>
      <c r="B440" s="3">
        <v>45501</v>
      </c>
      <c r="C440">
        <v>2024</v>
      </c>
      <c r="D440" t="str">
        <f t="shared" si="18"/>
        <v>July</v>
      </c>
      <c r="E440" t="str">
        <f t="shared" si="19"/>
        <v>Sunday</v>
      </c>
      <c r="F440" s="4">
        <v>0.28402777777777777</v>
      </c>
      <c r="G440" s="4" t="str">
        <f t="shared" si="20"/>
        <v>6:00 AM – 7:00 AM</v>
      </c>
      <c r="H440">
        <v>345</v>
      </c>
      <c r="I440">
        <v>567</v>
      </c>
      <c r="J440">
        <v>1</v>
      </c>
      <c r="K440">
        <v>35</v>
      </c>
      <c r="L440">
        <v>1</v>
      </c>
      <c r="M440">
        <v>0</v>
      </c>
      <c r="N440">
        <v>0</v>
      </c>
      <c r="O440">
        <v>39</v>
      </c>
      <c r="P440">
        <v>0</v>
      </c>
    </row>
    <row r="441" spans="1:16" x14ac:dyDescent="0.3">
      <c r="A441" s="3" t="s">
        <v>225</v>
      </c>
      <c r="B441" s="3">
        <v>45499</v>
      </c>
      <c r="C441">
        <v>2024</v>
      </c>
      <c r="D441" t="str">
        <f t="shared" si="18"/>
        <v>July</v>
      </c>
      <c r="E441" t="str">
        <f t="shared" si="19"/>
        <v>Friday</v>
      </c>
      <c r="F441" s="4">
        <v>0.35138888888888886</v>
      </c>
      <c r="G441" s="4" t="str">
        <f t="shared" si="20"/>
        <v>8:00 AM – 9:00 AM</v>
      </c>
      <c r="H441">
        <v>343</v>
      </c>
      <c r="I441">
        <v>568</v>
      </c>
      <c r="J441">
        <v>1</v>
      </c>
      <c r="K441">
        <v>46</v>
      </c>
      <c r="L441">
        <v>1</v>
      </c>
      <c r="M441">
        <v>0</v>
      </c>
      <c r="N441">
        <v>2</v>
      </c>
      <c r="O441">
        <v>50</v>
      </c>
      <c r="P441">
        <v>0</v>
      </c>
    </row>
    <row r="442" spans="1:16" x14ac:dyDescent="0.3">
      <c r="A442" s="3" t="s">
        <v>373</v>
      </c>
      <c r="B442" s="3">
        <v>45352</v>
      </c>
      <c r="C442">
        <v>2024</v>
      </c>
      <c r="D442" t="str">
        <f t="shared" si="18"/>
        <v>March</v>
      </c>
      <c r="E442" t="str">
        <f t="shared" si="19"/>
        <v>Friday</v>
      </c>
      <c r="F442" s="4">
        <v>0.2076388888888889</v>
      </c>
      <c r="G442" s="4" t="str">
        <f t="shared" si="20"/>
        <v>4:00 AM – 5:00 AM</v>
      </c>
      <c r="H442">
        <v>195</v>
      </c>
      <c r="I442">
        <v>131</v>
      </c>
      <c r="J442">
        <v>1</v>
      </c>
      <c r="K442">
        <v>81</v>
      </c>
      <c r="L442">
        <v>1</v>
      </c>
      <c r="M442">
        <v>0</v>
      </c>
      <c r="N442">
        <v>0</v>
      </c>
      <c r="O442">
        <v>78</v>
      </c>
      <c r="P442">
        <v>0</v>
      </c>
    </row>
    <row r="443" spans="1:16" x14ac:dyDescent="0.3">
      <c r="A443" s="3" t="s">
        <v>381</v>
      </c>
      <c r="B443" s="3">
        <v>45344</v>
      </c>
      <c r="C443">
        <v>2024</v>
      </c>
      <c r="D443" t="str">
        <f t="shared" si="18"/>
        <v>February</v>
      </c>
      <c r="E443" t="str">
        <f t="shared" si="19"/>
        <v>Thursday</v>
      </c>
      <c r="F443" s="4">
        <v>0.18819444444444444</v>
      </c>
      <c r="G443" s="4" t="str">
        <f t="shared" si="20"/>
        <v>4:00 AM – 5:00 AM</v>
      </c>
      <c r="H443">
        <v>187</v>
      </c>
      <c r="I443">
        <v>125</v>
      </c>
      <c r="J443">
        <v>1</v>
      </c>
      <c r="K443">
        <v>55</v>
      </c>
      <c r="L443">
        <v>2</v>
      </c>
      <c r="M443">
        <v>0</v>
      </c>
      <c r="N443">
        <v>0</v>
      </c>
      <c r="O443">
        <v>57</v>
      </c>
      <c r="P443">
        <v>1</v>
      </c>
    </row>
    <row r="444" spans="1:16" x14ac:dyDescent="0.3">
      <c r="A444" s="3" t="s">
        <v>412</v>
      </c>
      <c r="B444" s="3">
        <v>45313</v>
      </c>
      <c r="C444">
        <v>2024</v>
      </c>
      <c r="D444" t="str">
        <f t="shared" si="18"/>
        <v>January</v>
      </c>
      <c r="E444" t="str">
        <f t="shared" si="19"/>
        <v>Monday</v>
      </c>
      <c r="F444" s="4">
        <v>0.22500000000000001</v>
      </c>
      <c r="G444" s="4" t="str">
        <f t="shared" si="20"/>
        <v>5:00 AM – 6:00 AM</v>
      </c>
      <c r="H444">
        <v>156</v>
      </c>
      <c r="I444">
        <v>115</v>
      </c>
      <c r="J444">
        <v>1</v>
      </c>
      <c r="K444">
        <v>33</v>
      </c>
      <c r="L444">
        <v>1</v>
      </c>
      <c r="M444">
        <v>0</v>
      </c>
      <c r="N444">
        <v>0</v>
      </c>
      <c r="O444">
        <v>31</v>
      </c>
      <c r="P444">
        <v>0</v>
      </c>
    </row>
    <row r="445" spans="1:16" x14ac:dyDescent="0.3">
      <c r="A445" s="3" t="s">
        <v>415</v>
      </c>
      <c r="B445" s="3">
        <v>45310</v>
      </c>
      <c r="C445">
        <v>2024</v>
      </c>
      <c r="D445" t="str">
        <f t="shared" si="18"/>
        <v>January</v>
      </c>
      <c r="E445" t="str">
        <f t="shared" si="19"/>
        <v>Friday</v>
      </c>
      <c r="F445" s="4">
        <v>0.15833333333333333</v>
      </c>
      <c r="G445" s="4" t="str">
        <f t="shared" si="20"/>
        <v>3:00 AM – 4:00 AM</v>
      </c>
      <c r="H445">
        <v>153</v>
      </c>
      <c r="I445">
        <v>115</v>
      </c>
      <c r="J445">
        <v>1</v>
      </c>
      <c r="K445">
        <v>26</v>
      </c>
      <c r="L445">
        <v>1</v>
      </c>
      <c r="M445">
        <v>0</v>
      </c>
      <c r="N445">
        <v>0</v>
      </c>
      <c r="O445">
        <v>25</v>
      </c>
      <c r="P445">
        <v>1</v>
      </c>
    </row>
    <row r="446" spans="1:16" x14ac:dyDescent="0.3">
      <c r="A446" s="3" t="s">
        <v>437</v>
      </c>
      <c r="B446" s="3">
        <v>45289</v>
      </c>
      <c r="C446">
        <v>2023</v>
      </c>
      <c r="D446" t="str">
        <f t="shared" si="18"/>
        <v>December</v>
      </c>
      <c r="E446" t="str">
        <f t="shared" si="19"/>
        <v>Friday</v>
      </c>
      <c r="F446" s="4">
        <v>0.17430555555555555</v>
      </c>
      <c r="G446" s="4" t="str">
        <f t="shared" si="20"/>
        <v>4:00 AM – 5:00 AM</v>
      </c>
      <c r="H446">
        <v>130</v>
      </c>
      <c r="I446">
        <v>47</v>
      </c>
      <c r="J446">
        <v>1</v>
      </c>
      <c r="K446">
        <v>38</v>
      </c>
      <c r="L446">
        <v>1</v>
      </c>
      <c r="M446">
        <v>0</v>
      </c>
      <c r="N446">
        <v>1</v>
      </c>
      <c r="O446">
        <v>37</v>
      </c>
      <c r="P446">
        <v>2</v>
      </c>
    </row>
    <row r="447" spans="1:16" x14ac:dyDescent="0.3">
      <c r="A447" s="3" t="s">
        <v>440</v>
      </c>
      <c r="B447" s="3">
        <v>45286</v>
      </c>
      <c r="C447">
        <v>2023</v>
      </c>
      <c r="D447" t="str">
        <f t="shared" si="18"/>
        <v>December</v>
      </c>
      <c r="E447" t="str">
        <f t="shared" si="19"/>
        <v>Tuesday</v>
      </c>
      <c r="F447" s="4">
        <v>0.20069444444444445</v>
      </c>
      <c r="G447" s="4" t="str">
        <f t="shared" si="20"/>
        <v>4:00 AM – 5:00 AM</v>
      </c>
      <c r="H447">
        <v>127</v>
      </c>
      <c r="I447">
        <v>39</v>
      </c>
      <c r="J447">
        <v>1</v>
      </c>
      <c r="K447">
        <v>44</v>
      </c>
      <c r="L447">
        <v>1</v>
      </c>
      <c r="M447">
        <v>0</v>
      </c>
      <c r="N447">
        <v>0</v>
      </c>
      <c r="O447">
        <v>45</v>
      </c>
      <c r="P447">
        <v>4</v>
      </c>
    </row>
    <row r="448" spans="1:16" x14ac:dyDescent="0.3">
      <c r="A448" s="3" t="s">
        <v>443</v>
      </c>
      <c r="B448" s="3">
        <v>45283</v>
      </c>
      <c r="C448">
        <v>2023</v>
      </c>
      <c r="D448" t="str">
        <f t="shared" si="18"/>
        <v>December</v>
      </c>
      <c r="E448" t="str">
        <f t="shared" si="19"/>
        <v>Saturday</v>
      </c>
      <c r="F448" s="4">
        <v>0.16944444444444445</v>
      </c>
      <c r="G448" s="4" t="str">
        <f t="shared" si="20"/>
        <v>4:00 AM – 5:00 AM</v>
      </c>
      <c r="H448">
        <v>124</v>
      </c>
      <c r="I448">
        <v>33</v>
      </c>
      <c r="J448">
        <v>1</v>
      </c>
      <c r="K448">
        <v>45</v>
      </c>
      <c r="L448">
        <v>1</v>
      </c>
      <c r="M448">
        <v>0</v>
      </c>
      <c r="N448">
        <v>0</v>
      </c>
      <c r="O448">
        <v>46</v>
      </c>
      <c r="P448">
        <v>1</v>
      </c>
    </row>
    <row r="449" spans="1:16" x14ac:dyDescent="0.3">
      <c r="A449" s="3" t="s">
        <v>450</v>
      </c>
      <c r="B449" s="3">
        <v>45276</v>
      </c>
      <c r="C449">
        <v>2023</v>
      </c>
      <c r="D449" t="str">
        <f t="shared" si="18"/>
        <v>December</v>
      </c>
      <c r="E449" t="str">
        <f t="shared" si="19"/>
        <v>Saturday</v>
      </c>
      <c r="F449" s="4">
        <v>0.11944444444444445</v>
      </c>
      <c r="G449" s="4" t="str">
        <f t="shared" si="20"/>
        <v>2:00 AM – 3:00 AM</v>
      </c>
      <c r="H449">
        <v>117</v>
      </c>
      <c r="I449">
        <v>31</v>
      </c>
      <c r="J449">
        <v>1</v>
      </c>
      <c r="K449">
        <v>27</v>
      </c>
      <c r="L449">
        <v>1</v>
      </c>
      <c r="M449">
        <v>0</v>
      </c>
      <c r="N449">
        <v>0</v>
      </c>
      <c r="O449">
        <v>26</v>
      </c>
      <c r="P449">
        <v>0</v>
      </c>
    </row>
    <row r="450" spans="1:16" x14ac:dyDescent="0.3">
      <c r="A450" s="3" t="s">
        <v>453</v>
      </c>
      <c r="B450" s="3">
        <v>45273</v>
      </c>
      <c r="C450">
        <v>2023</v>
      </c>
      <c r="D450" t="str">
        <f t="shared" ref="D450:D475" si="21">TEXT(B450,"MMMM")</f>
        <v>December</v>
      </c>
      <c r="E450" t="str">
        <f t="shared" ref="E450:E475" si="22">TEXT(B450,"dddd")</f>
        <v>Wednesday</v>
      </c>
      <c r="F450" s="4">
        <v>0.31319444444444444</v>
      </c>
      <c r="G450" s="4" t="str">
        <f t="shared" ref="G450:G475" si="23">TEXT(FLOOR(F450,"1:00"),"h:mm AM/PM") &amp; " – " &amp; TEXT(FLOOR(F450,"1:00") + TIME(1,0,0),"h:mm AM/PM")</f>
        <v>7:00 AM – 8:00 AM</v>
      </c>
      <c r="H450">
        <v>113</v>
      </c>
      <c r="I450">
        <v>29</v>
      </c>
      <c r="J450">
        <v>1</v>
      </c>
      <c r="K450">
        <v>37</v>
      </c>
      <c r="L450">
        <v>1</v>
      </c>
      <c r="M450">
        <v>0</v>
      </c>
      <c r="N450">
        <v>0</v>
      </c>
      <c r="O450">
        <v>37</v>
      </c>
      <c r="P450">
        <v>0</v>
      </c>
    </row>
    <row r="451" spans="1:16" x14ac:dyDescent="0.3">
      <c r="A451" s="3" t="s">
        <v>454</v>
      </c>
      <c r="B451" s="3">
        <v>45272</v>
      </c>
      <c r="C451">
        <v>2023</v>
      </c>
      <c r="D451" t="str">
        <f t="shared" si="21"/>
        <v>December</v>
      </c>
      <c r="E451" t="str">
        <f t="shared" si="22"/>
        <v>Tuesday</v>
      </c>
      <c r="F451" s="4">
        <v>0.19583333333333333</v>
      </c>
      <c r="G451" s="4" t="str">
        <f t="shared" si="23"/>
        <v>4:00 AM – 5:00 AM</v>
      </c>
      <c r="H451">
        <v>112</v>
      </c>
      <c r="I451">
        <v>29</v>
      </c>
      <c r="J451">
        <v>1</v>
      </c>
      <c r="K451">
        <v>33</v>
      </c>
      <c r="L451">
        <v>1</v>
      </c>
      <c r="M451">
        <v>0</v>
      </c>
      <c r="N451">
        <v>0</v>
      </c>
      <c r="O451">
        <v>32</v>
      </c>
      <c r="P451">
        <v>0</v>
      </c>
    </row>
    <row r="452" spans="1:16" x14ac:dyDescent="0.3">
      <c r="A452" s="3" t="s">
        <v>456</v>
      </c>
      <c r="B452" s="3">
        <v>45270</v>
      </c>
      <c r="C452">
        <v>2023</v>
      </c>
      <c r="D452" t="str">
        <f t="shared" si="21"/>
        <v>December</v>
      </c>
      <c r="E452" t="str">
        <f t="shared" si="22"/>
        <v>Sunday</v>
      </c>
      <c r="F452" s="4">
        <v>0.26180555555555557</v>
      </c>
      <c r="G452" s="4" t="str">
        <f t="shared" si="23"/>
        <v>6:00 AM – 7:00 AM</v>
      </c>
      <c r="H452">
        <v>110</v>
      </c>
      <c r="I452">
        <v>29</v>
      </c>
      <c r="J452">
        <v>1</v>
      </c>
      <c r="K452">
        <v>34</v>
      </c>
      <c r="L452">
        <v>1</v>
      </c>
      <c r="M452">
        <v>0</v>
      </c>
      <c r="N452">
        <v>1</v>
      </c>
      <c r="O452">
        <v>35</v>
      </c>
      <c r="P452">
        <v>0</v>
      </c>
    </row>
    <row r="453" spans="1:16" x14ac:dyDescent="0.3">
      <c r="A453" s="3" t="s">
        <v>470</v>
      </c>
      <c r="B453" s="3">
        <v>45256</v>
      </c>
      <c r="C453">
        <v>2023</v>
      </c>
      <c r="D453" t="str">
        <f t="shared" si="21"/>
        <v>November</v>
      </c>
      <c r="E453" t="str">
        <f t="shared" si="22"/>
        <v>Sunday</v>
      </c>
      <c r="F453" s="4">
        <v>0.26666666666666666</v>
      </c>
      <c r="G453" s="4" t="str">
        <f t="shared" si="23"/>
        <v>6:00 AM – 7:00 AM</v>
      </c>
      <c r="H453">
        <v>96</v>
      </c>
      <c r="I453">
        <v>29</v>
      </c>
      <c r="J453">
        <v>1</v>
      </c>
      <c r="K453">
        <v>16</v>
      </c>
      <c r="L453">
        <v>0</v>
      </c>
      <c r="M453">
        <v>0</v>
      </c>
      <c r="N453">
        <v>0</v>
      </c>
      <c r="O453">
        <v>16</v>
      </c>
      <c r="P453">
        <v>0</v>
      </c>
    </row>
    <row r="454" spans="1:16" x14ac:dyDescent="0.3">
      <c r="A454" s="3" t="s">
        <v>471</v>
      </c>
      <c r="B454" s="3">
        <v>45255</v>
      </c>
      <c r="C454">
        <v>2023</v>
      </c>
      <c r="D454" t="str">
        <f t="shared" si="21"/>
        <v>November</v>
      </c>
      <c r="E454" t="str">
        <f t="shared" si="22"/>
        <v>Saturday</v>
      </c>
      <c r="F454" s="4">
        <v>0.10347222222222222</v>
      </c>
      <c r="G454" s="4" t="str">
        <f t="shared" si="23"/>
        <v>2:00 AM – 3:00 AM</v>
      </c>
      <c r="H454">
        <v>95</v>
      </c>
      <c r="I454">
        <v>29</v>
      </c>
      <c r="J454">
        <v>1</v>
      </c>
      <c r="K454">
        <v>14</v>
      </c>
      <c r="L454">
        <v>0</v>
      </c>
      <c r="M454">
        <v>0</v>
      </c>
      <c r="N454">
        <v>1</v>
      </c>
      <c r="O454">
        <v>14</v>
      </c>
      <c r="P454">
        <v>0</v>
      </c>
    </row>
    <row r="455" spans="1:16" x14ac:dyDescent="0.3">
      <c r="A455" s="3" t="s">
        <v>472</v>
      </c>
      <c r="B455" s="3">
        <v>45254</v>
      </c>
      <c r="C455">
        <v>2023</v>
      </c>
      <c r="D455" t="str">
        <f t="shared" si="21"/>
        <v>November</v>
      </c>
      <c r="E455" t="str">
        <f t="shared" si="22"/>
        <v>Friday</v>
      </c>
      <c r="F455" s="4">
        <v>9.7916666666666666E-2</v>
      </c>
      <c r="G455" s="4" t="str">
        <f t="shared" si="23"/>
        <v>2:00 AM – 3:00 AM</v>
      </c>
      <c r="H455">
        <v>94</v>
      </c>
      <c r="I455">
        <v>29</v>
      </c>
      <c r="J455">
        <v>1</v>
      </c>
      <c r="K455">
        <v>27</v>
      </c>
      <c r="L455">
        <v>0</v>
      </c>
      <c r="M455">
        <v>1</v>
      </c>
      <c r="N455">
        <v>0</v>
      </c>
      <c r="O455">
        <v>36</v>
      </c>
      <c r="P455">
        <v>0</v>
      </c>
    </row>
    <row r="456" spans="1:16" x14ac:dyDescent="0.3">
      <c r="A456" s="3" t="s">
        <v>476</v>
      </c>
      <c r="B456" s="3">
        <v>45250</v>
      </c>
      <c r="C456">
        <v>2023</v>
      </c>
      <c r="D456" t="str">
        <f t="shared" si="21"/>
        <v>November</v>
      </c>
      <c r="E456" t="str">
        <f t="shared" si="22"/>
        <v>Monday</v>
      </c>
      <c r="F456" s="4">
        <v>0.11388888888888889</v>
      </c>
      <c r="G456" s="4" t="str">
        <f t="shared" si="23"/>
        <v>2:00 AM – 3:00 AM</v>
      </c>
      <c r="H456">
        <v>90</v>
      </c>
      <c r="I456">
        <v>26</v>
      </c>
      <c r="J456">
        <v>1</v>
      </c>
      <c r="K456">
        <v>19</v>
      </c>
      <c r="L456">
        <v>0</v>
      </c>
      <c r="M456">
        <v>1</v>
      </c>
      <c r="N456">
        <v>0</v>
      </c>
      <c r="O456">
        <v>18</v>
      </c>
      <c r="P456">
        <v>-1</v>
      </c>
    </row>
    <row r="457" spans="1:16" x14ac:dyDescent="0.3">
      <c r="A457" s="3" t="s">
        <v>478</v>
      </c>
      <c r="B457" s="3">
        <v>45248</v>
      </c>
      <c r="C457">
        <v>2023</v>
      </c>
      <c r="D457" t="str">
        <f t="shared" si="21"/>
        <v>November</v>
      </c>
      <c r="E457" t="str">
        <f t="shared" si="22"/>
        <v>Saturday</v>
      </c>
      <c r="F457" s="4">
        <v>0.10694444444444444</v>
      </c>
      <c r="G457" s="4" t="str">
        <f t="shared" si="23"/>
        <v>2:00 AM – 3:00 AM</v>
      </c>
      <c r="H457">
        <v>88</v>
      </c>
      <c r="I457">
        <v>27</v>
      </c>
      <c r="J457">
        <v>1</v>
      </c>
      <c r="K457">
        <v>15</v>
      </c>
      <c r="L457">
        <v>0</v>
      </c>
      <c r="M457">
        <v>0</v>
      </c>
      <c r="N457">
        <v>1</v>
      </c>
      <c r="O457">
        <v>16</v>
      </c>
      <c r="P457">
        <v>0</v>
      </c>
    </row>
    <row r="458" spans="1:16" x14ac:dyDescent="0.3">
      <c r="A458" s="3" t="s">
        <v>11</v>
      </c>
      <c r="B458" s="3">
        <v>45714</v>
      </c>
      <c r="C458">
        <v>2025</v>
      </c>
      <c r="D458" t="str">
        <f t="shared" si="21"/>
        <v>February</v>
      </c>
      <c r="E458" t="str">
        <f t="shared" si="22"/>
        <v>Wednesday</v>
      </c>
      <c r="F458" s="4">
        <v>0.89930555555555558</v>
      </c>
      <c r="G458" s="4" t="str">
        <f t="shared" si="23"/>
        <v>9:00 PM – 10:00 PM</v>
      </c>
      <c r="H458">
        <v>557</v>
      </c>
      <c r="I458">
        <v>1286</v>
      </c>
      <c r="J458">
        <v>0</v>
      </c>
      <c r="K458">
        <v>4</v>
      </c>
      <c r="L458">
        <v>1</v>
      </c>
      <c r="M458">
        <v>0</v>
      </c>
      <c r="N458">
        <v>0</v>
      </c>
      <c r="O458">
        <v>4</v>
      </c>
      <c r="P458">
        <v>2</v>
      </c>
    </row>
    <row r="459" spans="1:16" x14ac:dyDescent="0.3">
      <c r="A459" s="3" t="s">
        <v>414</v>
      </c>
      <c r="B459" s="3">
        <v>45311</v>
      </c>
      <c r="C459">
        <v>2024</v>
      </c>
      <c r="D459" t="str">
        <f t="shared" si="21"/>
        <v>January</v>
      </c>
      <c r="E459" t="str">
        <f t="shared" si="22"/>
        <v>Saturday</v>
      </c>
      <c r="F459" s="4">
        <v>0.12847222222222221</v>
      </c>
      <c r="G459" s="4" t="str">
        <f t="shared" si="23"/>
        <v>3:00 AM – 4:00 AM</v>
      </c>
      <c r="H459">
        <v>154</v>
      </c>
      <c r="I459">
        <v>115</v>
      </c>
      <c r="J459">
        <v>0</v>
      </c>
      <c r="K459">
        <v>45</v>
      </c>
      <c r="L459">
        <v>1</v>
      </c>
      <c r="M459">
        <v>0</v>
      </c>
      <c r="N459">
        <v>0</v>
      </c>
      <c r="O459">
        <v>44</v>
      </c>
      <c r="P459">
        <v>0</v>
      </c>
    </row>
    <row r="460" spans="1:16" x14ac:dyDescent="0.3">
      <c r="A460" s="3" t="s">
        <v>429</v>
      </c>
      <c r="B460" s="3">
        <v>45296</v>
      </c>
      <c r="C460">
        <v>2024</v>
      </c>
      <c r="D460" t="str">
        <f t="shared" si="21"/>
        <v>January</v>
      </c>
      <c r="E460" t="str">
        <f t="shared" si="22"/>
        <v>Friday</v>
      </c>
      <c r="F460" s="4">
        <v>0.10069444444444445</v>
      </c>
      <c r="G460" s="4" t="str">
        <f t="shared" si="23"/>
        <v>2:00 AM – 3:00 AM</v>
      </c>
      <c r="H460">
        <v>139</v>
      </c>
      <c r="I460">
        <v>60</v>
      </c>
      <c r="J460">
        <v>0</v>
      </c>
      <c r="K460">
        <v>47</v>
      </c>
      <c r="L460">
        <v>1</v>
      </c>
      <c r="M460">
        <v>0</v>
      </c>
      <c r="N460">
        <v>0</v>
      </c>
      <c r="O460">
        <v>43</v>
      </c>
      <c r="P460">
        <v>2</v>
      </c>
    </row>
    <row r="461" spans="1:16" x14ac:dyDescent="0.3">
      <c r="A461" s="3" t="s">
        <v>433</v>
      </c>
      <c r="B461" s="3">
        <v>45292</v>
      </c>
      <c r="C461">
        <v>2024</v>
      </c>
      <c r="D461" t="str">
        <f t="shared" si="21"/>
        <v>January</v>
      </c>
      <c r="E461" t="str">
        <f t="shared" si="22"/>
        <v>Monday</v>
      </c>
      <c r="F461" s="4">
        <v>0.1736111111111111</v>
      </c>
      <c r="G461" s="4" t="str">
        <f t="shared" si="23"/>
        <v>4:00 AM – 5:00 AM</v>
      </c>
      <c r="H461">
        <v>135</v>
      </c>
      <c r="I461">
        <v>52</v>
      </c>
      <c r="J461">
        <v>0</v>
      </c>
      <c r="K461">
        <v>50</v>
      </c>
      <c r="L461">
        <v>1</v>
      </c>
      <c r="M461">
        <v>0</v>
      </c>
      <c r="N461">
        <v>0</v>
      </c>
      <c r="O461">
        <v>51</v>
      </c>
      <c r="P461">
        <v>0</v>
      </c>
    </row>
    <row r="462" spans="1:16" x14ac:dyDescent="0.3">
      <c r="A462" s="3" t="s">
        <v>434</v>
      </c>
      <c r="B462" s="3">
        <v>45291</v>
      </c>
      <c r="C462">
        <v>2023</v>
      </c>
      <c r="D462" t="str">
        <f t="shared" si="21"/>
        <v>December</v>
      </c>
      <c r="E462" t="str">
        <f t="shared" si="22"/>
        <v>Sunday</v>
      </c>
      <c r="F462" s="4">
        <v>0.20902777777777778</v>
      </c>
      <c r="G462" s="4" t="str">
        <f t="shared" si="23"/>
        <v>5:00 AM – 6:00 AM</v>
      </c>
      <c r="H462">
        <v>134</v>
      </c>
      <c r="I462">
        <v>52</v>
      </c>
      <c r="J462">
        <v>0</v>
      </c>
      <c r="K462">
        <v>47</v>
      </c>
      <c r="L462">
        <v>1</v>
      </c>
      <c r="M462">
        <v>0</v>
      </c>
      <c r="N462">
        <v>0</v>
      </c>
      <c r="O462">
        <v>48</v>
      </c>
      <c r="P462">
        <v>4</v>
      </c>
    </row>
    <row r="463" spans="1:16" x14ac:dyDescent="0.3">
      <c r="A463" s="3" t="s">
        <v>435</v>
      </c>
      <c r="B463" s="3">
        <v>45290</v>
      </c>
      <c r="C463">
        <v>2023</v>
      </c>
      <c r="D463" t="str">
        <f t="shared" si="21"/>
        <v>December</v>
      </c>
      <c r="E463" t="str">
        <f t="shared" si="22"/>
        <v>Saturday</v>
      </c>
      <c r="F463" s="4">
        <v>0.17152777777777778</v>
      </c>
      <c r="G463" s="4" t="str">
        <f t="shared" si="23"/>
        <v>4:00 AM – 5:00 AM</v>
      </c>
      <c r="H463">
        <v>132</v>
      </c>
      <c r="I463">
        <v>48</v>
      </c>
      <c r="J463">
        <v>0</v>
      </c>
      <c r="K463">
        <v>47</v>
      </c>
      <c r="L463">
        <v>1</v>
      </c>
      <c r="M463">
        <v>0</v>
      </c>
      <c r="N463">
        <v>0</v>
      </c>
      <c r="O463">
        <v>45</v>
      </c>
      <c r="P463">
        <v>1</v>
      </c>
    </row>
    <row r="464" spans="1:16" x14ac:dyDescent="0.3">
      <c r="A464" s="3" t="s">
        <v>439</v>
      </c>
      <c r="B464" s="3">
        <v>45287</v>
      </c>
      <c r="C464">
        <v>2023</v>
      </c>
      <c r="D464" t="str">
        <f t="shared" si="21"/>
        <v>December</v>
      </c>
      <c r="E464" t="str">
        <f t="shared" si="22"/>
        <v>Wednesday</v>
      </c>
      <c r="F464" s="4">
        <v>0.16250000000000001</v>
      </c>
      <c r="G464" s="4" t="str">
        <f t="shared" si="23"/>
        <v>3:00 AM – 4:00 AM</v>
      </c>
      <c r="H464">
        <v>128</v>
      </c>
      <c r="I464">
        <v>42</v>
      </c>
      <c r="J464">
        <v>0</v>
      </c>
      <c r="K464">
        <v>40</v>
      </c>
      <c r="L464">
        <v>1</v>
      </c>
      <c r="M464">
        <v>0</v>
      </c>
      <c r="N464">
        <v>0</v>
      </c>
      <c r="O464">
        <v>40</v>
      </c>
      <c r="P464">
        <v>3</v>
      </c>
    </row>
    <row r="465" spans="1:16" x14ac:dyDescent="0.3">
      <c r="A465" s="3" t="s">
        <v>442</v>
      </c>
      <c r="B465" s="3">
        <v>45284</v>
      </c>
      <c r="C465">
        <v>2023</v>
      </c>
      <c r="D465" t="str">
        <f t="shared" si="21"/>
        <v>December</v>
      </c>
      <c r="E465" t="str">
        <f t="shared" si="22"/>
        <v>Sunday</v>
      </c>
      <c r="F465" s="4">
        <v>0.20555555555555555</v>
      </c>
      <c r="G465" s="4" t="str">
        <f t="shared" si="23"/>
        <v>4:00 AM – 5:00 AM</v>
      </c>
      <c r="H465">
        <v>125</v>
      </c>
      <c r="I465">
        <v>35</v>
      </c>
      <c r="J465">
        <v>0</v>
      </c>
      <c r="K465">
        <v>45</v>
      </c>
      <c r="L465">
        <v>1</v>
      </c>
      <c r="M465">
        <v>0</v>
      </c>
      <c r="N465">
        <v>0</v>
      </c>
      <c r="O465">
        <v>44</v>
      </c>
      <c r="P465">
        <v>2</v>
      </c>
    </row>
    <row r="466" spans="1:16" x14ac:dyDescent="0.3">
      <c r="A466" s="3" t="s">
        <v>448</v>
      </c>
      <c r="B466" s="3">
        <v>45278</v>
      </c>
      <c r="C466">
        <v>2023</v>
      </c>
      <c r="D466" t="str">
        <f t="shared" si="21"/>
        <v>December</v>
      </c>
      <c r="E466" t="str">
        <f t="shared" si="22"/>
        <v>Monday</v>
      </c>
      <c r="F466" s="4">
        <v>9.930555555555555E-2</v>
      </c>
      <c r="G466" s="4" t="str">
        <f t="shared" si="23"/>
        <v>2:00 AM – 3:00 AM</v>
      </c>
      <c r="H466">
        <v>119</v>
      </c>
      <c r="I466">
        <v>31</v>
      </c>
      <c r="J466">
        <v>0</v>
      </c>
      <c r="K466">
        <v>43</v>
      </c>
      <c r="L466">
        <v>2</v>
      </c>
      <c r="M466">
        <v>1</v>
      </c>
      <c r="N466">
        <v>1</v>
      </c>
      <c r="O466">
        <v>58</v>
      </c>
      <c r="P466">
        <v>0</v>
      </c>
    </row>
    <row r="467" spans="1:16" x14ac:dyDescent="0.3">
      <c r="A467" s="3" t="s">
        <v>451</v>
      </c>
      <c r="B467" s="3">
        <v>45275</v>
      </c>
      <c r="C467">
        <v>2023</v>
      </c>
      <c r="D467" t="str">
        <f t="shared" si="21"/>
        <v>December</v>
      </c>
      <c r="E467" t="str">
        <f t="shared" si="22"/>
        <v>Friday</v>
      </c>
      <c r="F467" s="4">
        <v>0.2</v>
      </c>
      <c r="G467" s="4" t="str">
        <f t="shared" si="23"/>
        <v>4:00 AM – 5:00 AM</v>
      </c>
      <c r="H467">
        <v>116</v>
      </c>
      <c r="I467">
        <v>31</v>
      </c>
      <c r="J467">
        <v>0</v>
      </c>
      <c r="K467">
        <v>58</v>
      </c>
      <c r="L467">
        <v>2</v>
      </c>
      <c r="M467">
        <v>0</v>
      </c>
      <c r="N467">
        <v>0</v>
      </c>
      <c r="O467">
        <v>62</v>
      </c>
      <c r="P467">
        <v>2</v>
      </c>
    </row>
    <row r="468" spans="1:16" x14ac:dyDescent="0.3">
      <c r="A468" s="3" t="s">
        <v>455</v>
      </c>
      <c r="B468" s="3">
        <v>45271</v>
      </c>
      <c r="C468">
        <v>2023</v>
      </c>
      <c r="D468" t="str">
        <f t="shared" si="21"/>
        <v>December</v>
      </c>
      <c r="E468" t="str">
        <f t="shared" si="22"/>
        <v>Monday</v>
      </c>
      <c r="F468" s="4">
        <v>0.22291666666666668</v>
      </c>
      <c r="G468" s="4" t="str">
        <f t="shared" si="23"/>
        <v>5:00 AM – 6:00 AM</v>
      </c>
      <c r="H468">
        <v>111</v>
      </c>
      <c r="I468">
        <v>29</v>
      </c>
      <c r="J468">
        <v>0</v>
      </c>
      <c r="K468">
        <v>32</v>
      </c>
      <c r="L468">
        <v>1</v>
      </c>
      <c r="M468">
        <v>0</v>
      </c>
      <c r="N468">
        <v>0</v>
      </c>
      <c r="O468">
        <v>31</v>
      </c>
      <c r="P468">
        <v>0</v>
      </c>
    </row>
    <row r="469" spans="1:16" x14ac:dyDescent="0.3">
      <c r="A469" s="3" t="s">
        <v>461</v>
      </c>
      <c r="B469" s="3">
        <v>45265</v>
      </c>
      <c r="C469">
        <v>2023</v>
      </c>
      <c r="D469" t="str">
        <f t="shared" si="21"/>
        <v>December</v>
      </c>
      <c r="E469" t="str">
        <f t="shared" si="22"/>
        <v>Tuesday</v>
      </c>
      <c r="F469" s="4">
        <v>0.19722222222222222</v>
      </c>
      <c r="G469" s="4" t="str">
        <f t="shared" si="23"/>
        <v>4:00 AM – 5:00 AM</v>
      </c>
      <c r="H469">
        <v>105</v>
      </c>
      <c r="I469">
        <v>29</v>
      </c>
      <c r="J469">
        <v>0</v>
      </c>
      <c r="K469">
        <v>23</v>
      </c>
      <c r="L469">
        <v>1</v>
      </c>
      <c r="M469">
        <v>0</v>
      </c>
      <c r="N469">
        <v>0</v>
      </c>
      <c r="O469">
        <v>21</v>
      </c>
      <c r="P469">
        <v>0</v>
      </c>
    </row>
    <row r="470" spans="1:16" x14ac:dyDescent="0.3">
      <c r="A470" s="3" t="s">
        <v>462</v>
      </c>
      <c r="B470" s="3">
        <v>45264</v>
      </c>
      <c r="C470">
        <v>2023</v>
      </c>
      <c r="D470" t="str">
        <f t="shared" si="21"/>
        <v>December</v>
      </c>
      <c r="E470" t="str">
        <f t="shared" si="22"/>
        <v>Monday</v>
      </c>
      <c r="F470" s="4">
        <v>0.11805555555555555</v>
      </c>
      <c r="G470" s="4" t="str">
        <f t="shared" si="23"/>
        <v>2:00 AM – 3:00 AM</v>
      </c>
      <c r="H470">
        <v>104</v>
      </c>
      <c r="I470">
        <v>29</v>
      </c>
      <c r="J470">
        <v>0</v>
      </c>
      <c r="K470">
        <v>22</v>
      </c>
      <c r="L470">
        <v>1</v>
      </c>
      <c r="M470">
        <v>0</v>
      </c>
      <c r="N470">
        <v>1</v>
      </c>
      <c r="O470">
        <v>22</v>
      </c>
      <c r="P470">
        <v>0</v>
      </c>
    </row>
    <row r="471" spans="1:16" x14ac:dyDescent="0.3">
      <c r="A471" s="3" t="s">
        <v>465</v>
      </c>
      <c r="B471" s="3">
        <v>45261</v>
      </c>
      <c r="C471">
        <v>2023</v>
      </c>
      <c r="D471" t="str">
        <f t="shared" si="21"/>
        <v>December</v>
      </c>
      <c r="E471" t="str">
        <f t="shared" si="22"/>
        <v>Friday</v>
      </c>
      <c r="F471" s="4">
        <v>0.20416666666666666</v>
      </c>
      <c r="G471" s="4" t="str">
        <f t="shared" si="23"/>
        <v>4:00 AM – 5:00 AM</v>
      </c>
      <c r="H471">
        <v>101</v>
      </c>
      <c r="I471">
        <v>29</v>
      </c>
      <c r="J471">
        <v>0</v>
      </c>
      <c r="K471">
        <v>16</v>
      </c>
      <c r="L471">
        <v>1</v>
      </c>
      <c r="M471">
        <v>0</v>
      </c>
      <c r="N471">
        <v>0</v>
      </c>
      <c r="O471">
        <v>17</v>
      </c>
      <c r="P471">
        <v>0</v>
      </c>
    </row>
    <row r="472" spans="1:16" x14ac:dyDescent="0.3">
      <c r="A472" s="3" t="s">
        <v>466</v>
      </c>
      <c r="B472" s="3">
        <v>45260</v>
      </c>
      <c r="C472">
        <v>2023</v>
      </c>
      <c r="D472" t="str">
        <f t="shared" si="21"/>
        <v>November</v>
      </c>
      <c r="E472" t="str">
        <f t="shared" si="22"/>
        <v>Thursday</v>
      </c>
      <c r="F472" s="4">
        <v>0.10694444444444444</v>
      </c>
      <c r="G472" s="4" t="str">
        <f t="shared" si="23"/>
        <v>2:00 AM – 3:00 AM</v>
      </c>
      <c r="H472">
        <v>100</v>
      </c>
      <c r="I472">
        <v>29</v>
      </c>
      <c r="J472">
        <v>0</v>
      </c>
      <c r="K472">
        <v>16</v>
      </c>
      <c r="L472">
        <v>0</v>
      </c>
      <c r="M472">
        <v>0</v>
      </c>
      <c r="N472">
        <v>0</v>
      </c>
      <c r="O472">
        <v>16</v>
      </c>
      <c r="P472">
        <v>0</v>
      </c>
    </row>
    <row r="473" spans="1:16" x14ac:dyDescent="0.3">
      <c r="A473" s="3" t="s">
        <v>467</v>
      </c>
      <c r="B473" s="3">
        <v>45259</v>
      </c>
      <c r="C473">
        <v>2023</v>
      </c>
      <c r="D473" t="str">
        <f t="shared" si="21"/>
        <v>November</v>
      </c>
      <c r="E473" t="str">
        <f t="shared" si="22"/>
        <v>Wednesday</v>
      </c>
      <c r="F473" s="4">
        <v>0.1</v>
      </c>
      <c r="G473" s="4" t="str">
        <f t="shared" si="23"/>
        <v>2:00 AM – 3:00 AM</v>
      </c>
      <c r="H473">
        <v>99</v>
      </c>
      <c r="I473">
        <v>29</v>
      </c>
      <c r="J473">
        <v>0</v>
      </c>
      <c r="K473">
        <v>17</v>
      </c>
      <c r="L473">
        <v>0</v>
      </c>
      <c r="M473">
        <v>0</v>
      </c>
      <c r="N473">
        <v>0</v>
      </c>
      <c r="O473">
        <v>16</v>
      </c>
      <c r="P473">
        <v>0</v>
      </c>
    </row>
    <row r="474" spans="1:16" x14ac:dyDescent="0.3">
      <c r="A474" s="3" t="s">
        <v>468</v>
      </c>
      <c r="B474" s="3">
        <v>45258</v>
      </c>
      <c r="C474">
        <v>2023</v>
      </c>
      <c r="D474" t="str">
        <f t="shared" si="21"/>
        <v>November</v>
      </c>
      <c r="E474" t="str">
        <f t="shared" si="22"/>
        <v>Tuesday</v>
      </c>
      <c r="F474" s="4">
        <v>0.11388888888888889</v>
      </c>
      <c r="G474" s="4" t="str">
        <f t="shared" si="23"/>
        <v>2:00 AM – 3:00 AM</v>
      </c>
      <c r="H474">
        <v>98</v>
      </c>
      <c r="I474">
        <v>29</v>
      </c>
      <c r="J474">
        <v>0</v>
      </c>
      <c r="K474">
        <v>18</v>
      </c>
      <c r="L474">
        <v>0</v>
      </c>
      <c r="M474">
        <v>0</v>
      </c>
      <c r="N474">
        <v>1</v>
      </c>
      <c r="O474">
        <v>16</v>
      </c>
      <c r="P474">
        <v>0</v>
      </c>
    </row>
    <row r="475" spans="1:16" x14ac:dyDescent="0.3">
      <c r="A475" s="3" t="s">
        <v>480</v>
      </c>
      <c r="B475" s="3">
        <v>45246</v>
      </c>
      <c r="C475">
        <v>2023</v>
      </c>
      <c r="D475" t="str">
        <f t="shared" si="21"/>
        <v>November</v>
      </c>
      <c r="E475" t="str">
        <f t="shared" si="22"/>
        <v>Thursday</v>
      </c>
      <c r="F475" s="4">
        <v>0.10486111111111111</v>
      </c>
      <c r="G475" s="4" t="str">
        <f t="shared" si="23"/>
        <v>2:00 AM – 3:00 AM</v>
      </c>
      <c r="H475">
        <v>86</v>
      </c>
      <c r="I475">
        <v>27</v>
      </c>
      <c r="J475">
        <v>0</v>
      </c>
      <c r="K475">
        <v>13</v>
      </c>
      <c r="L475">
        <v>0</v>
      </c>
      <c r="M475">
        <v>0</v>
      </c>
      <c r="N475">
        <v>0</v>
      </c>
      <c r="O475">
        <v>13</v>
      </c>
      <c r="P475">
        <v>2</v>
      </c>
    </row>
    <row r="476" spans="1:16" x14ac:dyDescent="0.3">
      <c r="A476"/>
      <c r="B476"/>
    </row>
  </sheetData>
  <phoneticPr fontId="18"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C78C1-971F-49BB-97D0-CF6DD8D6F195}">
  <dimension ref="A9:D100"/>
  <sheetViews>
    <sheetView topLeftCell="A22" zoomScale="60" zoomScaleNormal="60" workbookViewId="0">
      <selection activeCell="B56" sqref="B56"/>
    </sheetView>
  </sheetViews>
  <sheetFormatPr defaultRowHeight="14.4" x14ac:dyDescent="0.3"/>
  <cols>
    <col min="1" max="1" width="21.5546875" bestFit="1" customWidth="1"/>
    <col min="2" max="2" width="32.33203125" bestFit="1" customWidth="1"/>
    <col min="3" max="3" width="16.77734375" bestFit="1" customWidth="1"/>
    <col min="4" max="4" width="18.6640625" bestFit="1" customWidth="1"/>
    <col min="5" max="5" width="23.77734375" bestFit="1" customWidth="1"/>
    <col min="6" max="6" width="24.77734375" bestFit="1" customWidth="1"/>
    <col min="7" max="7" width="25.88671875" bestFit="1" customWidth="1"/>
    <col min="8" max="8" width="15.33203125" bestFit="1" customWidth="1"/>
  </cols>
  <sheetData>
    <row r="9" spans="1:2" x14ac:dyDescent="0.3">
      <c r="A9" s="5" t="s">
        <v>489</v>
      </c>
      <c r="B9" t="s">
        <v>507</v>
      </c>
    </row>
    <row r="10" spans="1:2" x14ac:dyDescent="0.3">
      <c r="A10" s="6" t="s">
        <v>490</v>
      </c>
      <c r="B10">
        <v>563754</v>
      </c>
    </row>
    <row r="11" spans="1:2" x14ac:dyDescent="0.3">
      <c r="A11" s="6" t="s">
        <v>491</v>
      </c>
      <c r="B11">
        <v>1414</v>
      </c>
    </row>
    <row r="12" spans="1:2" x14ac:dyDescent="0.3">
      <c r="A12" s="6" t="s">
        <v>492</v>
      </c>
      <c r="B12">
        <v>66</v>
      </c>
    </row>
    <row r="13" spans="1:2" x14ac:dyDescent="0.3">
      <c r="A13" s="6" t="s">
        <v>493</v>
      </c>
      <c r="B13">
        <v>4498</v>
      </c>
    </row>
    <row r="14" spans="1:2" x14ac:dyDescent="0.3">
      <c r="A14" s="6" t="s">
        <v>494</v>
      </c>
      <c r="B14">
        <v>427708</v>
      </c>
    </row>
    <row r="15" spans="1:2" x14ac:dyDescent="0.3">
      <c r="A15" s="6" t="s">
        <v>495</v>
      </c>
      <c r="B15">
        <v>341</v>
      </c>
    </row>
    <row r="16" spans="1:2" x14ac:dyDescent="0.3">
      <c r="A16" s="6" t="s">
        <v>496</v>
      </c>
      <c r="B16">
        <v>2207</v>
      </c>
    </row>
    <row r="17" spans="1:2" x14ac:dyDescent="0.3">
      <c r="A17" s="6" t="s">
        <v>497</v>
      </c>
      <c r="B17">
        <v>434</v>
      </c>
    </row>
    <row r="18" spans="1:2" x14ac:dyDescent="0.3">
      <c r="A18" s="6" t="s">
        <v>498</v>
      </c>
      <c r="B18">
        <v>245</v>
      </c>
    </row>
    <row r="19" spans="1:2" x14ac:dyDescent="0.3">
      <c r="A19" s="6" t="s">
        <v>499</v>
      </c>
      <c r="B19">
        <v>3057</v>
      </c>
    </row>
    <row r="20" spans="1:2" x14ac:dyDescent="0.3">
      <c r="A20" s="6" t="s">
        <v>500</v>
      </c>
      <c r="B20">
        <v>1273</v>
      </c>
    </row>
    <row r="21" spans="1:2" x14ac:dyDescent="0.3">
      <c r="A21" s="6" t="s">
        <v>501</v>
      </c>
      <c r="B21">
        <v>1214</v>
      </c>
    </row>
    <row r="22" spans="1:2" x14ac:dyDescent="0.3">
      <c r="A22" s="6" t="s">
        <v>502</v>
      </c>
      <c r="B22">
        <v>644166</v>
      </c>
    </row>
    <row r="23" spans="1:2" x14ac:dyDescent="0.3">
      <c r="A23" s="6" t="s">
        <v>503</v>
      </c>
      <c r="B23">
        <v>1720</v>
      </c>
    </row>
    <row r="24" spans="1:2" x14ac:dyDescent="0.3">
      <c r="A24" s="6" t="s">
        <v>504</v>
      </c>
      <c r="B24">
        <v>254</v>
      </c>
    </row>
    <row r="25" spans="1:2" x14ac:dyDescent="0.3">
      <c r="A25" s="6" t="s">
        <v>505</v>
      </c>
      <c r="B25">
        <v>82</v>
      </c>
    </row>
    <row r="35" spans="1:3" x14ac:dyDescent="0.3">
      <c r="A35" s="5" t="s">
        <v>489</v>
      </c>
      <c r="B35" t="s">
        <v>507</v>
      </c>
      <c r="C35" t="s">
        <v>522</v>
      </c>
    </row>
    <row r="36" spans="1:3" x14ac:dyDescent="0.3">
      <c r="A36" s="6" t="s">
        <v>509</v>
      </c>
      <c r="B36">
        <v>56439</v>
      </c>
      <c r="C36">
        <v>3538</v>
      </c>
    </row>
    <row r="37" spans="1:3" x14ac:dyDescent="0.3">
      <c r="A37" s="6" t="s">
        <v>510</v>
      </c>
      <c r="B37">
        <v>58939</v>
      </c>
      <c r="C37">
        <v>5059</v>
      </c>
    </row>
    <row r="38" spans="1:3" x14ac:dyDescent="0.3">
      <c r="A38" s="6" t="s">
        <v>511</v>
      </c>
      <c r="B38">
        <v>720565</v>
      </c>
      <c r="C38">
        <v>93801</v>
      </c>
    </row>
    <row r="39" spans="1:3" x14ac:dyDescent="0.3">
      <c r="A39" s="6" t="s">
        <v>512</v>
      </c>
      <c r="B39">
        <v>19021</v>
      </c>
      <c r="C39">
        <v>963</v>
      </c>
    </row>
    <row r="40" spans="1:3" x14ac:dyDescent="0.3">
      <c r="A40" s="6" t="s">
        <v>513</v>
      </c>
      <c r="B40">
        <v>66891</v>
      </c>
      <c r="C40">
        <v>7073</v>
      </c>
    </row>
    <row r="41" spans="1:3" x14ac:dyDescent="0.3">
      <c r="A41" s="6" t="s">
        <v>514</v>
      </c>
      <c r="B41">
        <v>18278</v>
      </c>
      <c r="C41">
        <v>1664</v>
      </c>
    </row>
    <row r="42" spans="1:3" x14ac:dyDescent="0.3">
      <c r="A42" s="6" t="s">
        <v>515</v>
      </c>
      <c r="B42">
        <v>379174</v>
      </c>
      <c r="C42">
        <v>25778</v>
      </c>
    </row>
    <row r="43" spans="1:3" x14ac:dyDescent="0.3">
      <c r="A43" s="6" t="s">
        <v>516</v>
      </c>
      <c r="B43">
        <v>614017</v>
      </c>
      <c r="C43">
        <v>122067</v>
      </c>
    </row>
    <row r="44" spans="1:3" x14ac:dyDescent="0.3">
      <c r="A44" s="6" t="s">
        <v>517</v>
      </c>
      <c r="B44">
        <v>20237</v>
      </c>
      <c r="C44">
        <v>1254</v>
      </c>
    </row>
    <row r="45" spans="1:3" x14ac:dyDescent="0.3">
      <c r="A45" s="6" t="s">
        <v>518</v>
      </c>
      <c r="B45">
        <v>36329</v>
      </c>
      <c r="C45">
        <v>1959</v>
      </c>
    </row>
    <row r="46" spans="1:3" x14ac:dyDescent="0.3">
      <c r="A46" s="6" t="s">
        <v>519</v>
      </c>
      <c r="B46">
        <v>448371</v>
      </c>
      <c r="C46">
        <v>38369</v>
      </c>
    </row>
    <row r="47" spans="1:3" x14ac:dyDescent="0.3">
      <c r="A47" s="6" t="s">
        <v>520</v>
      </c>
      <c r="B47">
        <v>819379</v>
      </c>
      <c r="C47">
        <v>51604</v>
      </c>
    </row>
    <row r="51" spans="1:2" x14ac:dyDescent="0.3">
      <c r="A51" s="5" t="s">
        <v>489</v>
      </c>
      <c r="B51" t="s">
        <v>521</v>
      </c>
    </row>
    <row r="52" spans="1:2" x14ac:dyDescent="0.3">
      <c r="A52" s="6" t="s">
        <v>509</v>
      </c>
      <c r="B52">
        <v>511</v>
      </c>
    </row>
    <row r="53" spans="1:2" x14ac:dyDescent="0.3">
      <c r="A53" s="6" t="s">
        <v>510</v>
      </c>
      <c r="B53">
        <v>1</v>
      </c>
    </row>
    <row r="54" spans="1:2" x14ac:dyDescent="0.3">
      <c r="A54" s="6" t="s">
        <v>511</v>
      </c>
      <c r="B54">
        <v>126</v>
      </c>
    </row>
    <row r="55" spans="1:2" x14ac:dyDescent="0.3">
      <c r="A55" s="6" t="s">
        <v>512</v>
      </c>
      <c r="B55">
        <v>208</v>
      </c>
    </row>
    <row r="56" spans="1:2" x14ac:dyDescent="0.3">
      <c r="A56" s="6" t="s">
        <v>513</v>
      </c>
      <c r="B56">
        <v>46</v>
      </c>
    </row>
    <row r="57" spans="1:2" x14ac:dyDescent="0.3">
      <c r="A57" s="6" t="s">
        <v>514</v>
      </c>
      <c r="B57">
        <v>35</v>
      </c>
    </row>
    <row r="58" spans="1:2" x14ac:dyDescent="0.3">
      <c r="A58" s="6" t="s">
        <v>515</v>
      </c>
      <c r="B58">
        <v>20</v>
      </c>
    </row>
    <row r="59" spans="1:2" x14ac:dyDescent="0.3">
      <c r="A59" s="6" t="s">
        <v>516</v>
      </c>
      <c r="B59">
        <v>26</v>
      </c>
    </row>
    <row r="60" spans="1:2" x14ac:dyDescent="0.3">
      <c r="A60" s="6" t="s">
        <v>517</v>
      </c>
      <c r="B60">
        <v>98</v>
      </c>
    </row>
    <row r="61" spans="1:2" x14ac:dyDescent="0.3">
      <c r="A61" s="6" t="s">
        <v>518</v>
      </c>
      <c r="B61">
        <v>75</v>
      </c>
    </row>
    <row r="62" spans="1:2" x14ac:dyDescent="0.3">
      <c r="A62" s="6" t="s">
        <v>519</v>
      </c>
      <c r="B62">
        <v>44</v>
      </c>
    </row>
    <row r="63" spans="1:2" x14ac:dyDescent="0.3">
      <c r="A63" s="6" t="s">
        <v>520</v>
      </c>
      <c r="B63">
        <v>96</v>
      </c>
    </row>
    <row r="64" spans="1:2" x14ac:dyDescent="0.3">
      <c r="A64" s="6" t="s">
        <v>506</v>
      </c>
      <c r="B64">
        <v>1286</v>
      </c>
    </row>
    <row r="69" spans="1:4" x14ac:dyDescent="0.3">
      <c r="A69" s="5" t="s">
        <v>489</v>
      </c>
      <c r="B69" t="s">
        <v>523</v>
      </c>
      <c r="C69" t="s">
        <v>525</v>
      </c>
      <c r="D69" t="s">
        <v>524</v>
      </c>
    </row>
    <row r="70" spans="1:4" x14ac:dyDescent="0.3">
      <c r="A70" s="6" t="s">
        <v>509</v>
      </c>
      <c r="B70">
        <v>113</v>
      </c>
      <c r="C70">
        <v>2939</v>
      </c>
      <c r="D70">
        <v>501</v>
      </c>
    </row>
    <row r="71" spans="1:4" x14ac:dyDescent="0.3">
      <c r="A71" s="6" t="s">
        <v>510</v>
      </c>
      <c r="B71">
        <v>99</v>
      </c>
      <c r="C71">
        <v>1757</v>
      </c>
      <c r="D71">
        <v>899</v>
      </c>
    </row>
    <row r="72" spans="1:4" x14ac:dyDescent="0.3">
      <c r="A72" s="6" t="s">
        <v>511</v>
      </c>
      <c r="B72">
        <v>863</v>
      </c>
      <c r="C72">
        <v>43143</v>
      </c>
      <c r="D72">
        <v>21104</v>
      </c>
    </row>
    <row r="73" spans="1:4" x14ac:dyDescent="0.3">
      <c r="A73" s="6" t="s">
        <v>512</v>
      </c>
      <c r="B73">
        <v>49</v>
      </c>
      <c r="C73">
        <v>367</v>
      </c>
      <c r="D73">
        <v>362</v>
      </c>
    </row>
    <row r="74" spans="1:4" x14ac:dyDescent="0.3">
      <c r="A74" s="6" t="s">
        <v>513</v>
      </c>
      <c r="B74">
        <v>150</v>
      </c>
      <c r="C74">
        <v>2777</v>
      </c>
      <c r="D74">
        <v>947</v>
      </c>
    </row>
    <row r="75" spans="1:4" x14ac:dyDescent="0.3">
      <c r="A75" s="6" t="s">
        <v>514</v>
      </c>
      <c r="B75">
        <v>71</v>
      </c>
      <c r="C75">
        <v>307</v>
      </c>
      <c r="D75">
        <v>352</v>
      </c>
    </row>
    <row r="76" spans="1:4" x14ac:dyDescent="0.3">
      <c r="A76" s="6" t="s">
        <v>515</v>
      </c>
      <c r="B76">
        <v>283</v>
      </c>
      <c r="C76">
        <v>20927</v>
      </c>
      <c r="D76">
        <v>9020</v>
      </c>
    </row>
    <row r="77" spans="1:4" x14ac:dyDescent="0.3">
      <c r="A77" s="6" t="s">
        <v>516</v>
      </c>
      <c r="B77">
        <v>682</v>
      </c>
      <c r="C77">
        <v>50043</v>
      </c>
      <c r="D77">
        <v>13873</v>
      </c>
    </row>
    <row r="78" spans="1:4" x14ac:dyDescent="0.3">
      <c r="A78" s="6" t="s">
        <v>517</v>
      </c>
      <c r="B78">
        <v>54</v>
      </c>
      <c r="C78">
        <v>615</v>
      </c>
      <c r="D78">
        <v>201</v>
      </c>
    </row>
    <row r="79" spans="1:4" x14ac:dyDescent="0.3">
      <c r="A79" s="6" t="s">
        <v>518</v>
      </c>
      <c r="B79">
        <v>77</v>
      </c>
      <c r="C79">
        <v>903</v>
      </c>
      <c r="D79">
        <v>487</v>
      </c>
    </row>
    <row r="80" spans="1:4" x14ac:dyDescent="0.3">
      <c r="A80" s="6" t="s">
        <v>519</v>
      </c>
      <c r="B80">
        <v>310</v>
      </c>
      <c r="C80">
        <v>14052</v>
      </c>
      <c r="D80">
        <v>11145</v>
      </c>
    </row>
    <row r="81" spans="1:4" x14ac:dyDescent="0.3">
      <c r="A81" s="6" t="s">
        <v>520</v>
      </c>
      <c r="B81">
        <v>453</v>
      </c>
      <c r="C81">
        <v>31377</v>
      </c>
      <c r="D81">
        <v>16342</v>
      </c>
    </row>
    <row r="82" spans="1:4" x14ac:dyDescent="0.3">
      <c r="A82" s="6" t="s">
        <v>506</v>
      </c>
      <c r="B82">
        <v>3204</v>
      </c>
      <c r="C82">
        <v>169207</v>
      </c>
      <c r="D82">
        <v>75233</v>
      </c>
    </row>
    <row r="94" spans="1:4" x14ac:dyDescent="0.3">
      <c r="A94" s="5" t="s">
        <v>489</v>
      </c>
      <c r="B94" t="s">
        <v>507</v>
      </c>
      <c r="C94" t="s">
        <v>522</v>
      </c>
      <c r="D94" t="s">
        <v>525</v>
      </c>
    </row>
    <row r="95" spans="1:4" x14ac:dyDescent="0.3">
      <c r="A95" s="6" t="s">
        <v>356</v>
      </c>
      <c r="B95" s="22">
        <v>638798</v>
      </c>
      <c r="C95" s="22">
        <v>89336</v>
      </c>
      <c r="D95" s="22">
        <v>40416</v>
      </c>
    </row>
    <row r="96" spans="1:4" x14ac:dyDescent="0.3">
      <c r="A96" s="6" t="s">
        <v>210</v>
      </c>
      <c r="B96" s="22">
        <v>606337</v>
      </c>
      <c r="C96" s="22">
        <v>121389</v>
      </c>
      <c r="D96" s="22">
        <v>49795</v>
      </c>
    </row>
    <row r="97" spans="1:4" x14ac:dyDescent="0.3">
      <c r="A97" s="6" t="s">
        <v>68</v>
      </c>
      <c r="B97" s="22">
        <v>561399</v>
      </c>
      <c r="C97" s="22">
        <v>24317</v>
      </c>
      <c r="D97" s="22">
        <v>15842</v>
      </c>
    </row>
    <row r="98" spans="1:4" x14ac:dyDescent="0.3">
      <c r="A98" s="6" t="s">
        <v>110</v>
      </c>
      <c r="B98" s="22">
        <v>426039</v>
      </c>
      <c r="C98" s="22">
        <v>36507</v>
      </c>
      <c r="D98" s="22">
        <v>13603</v>
      </c>
    </row>
    <row r="99" spans="1:4" x14ac:dyDescent="0.3">
      <c r="A99" s="6" t="s">
        <v>230</v>
      </c>
      <c r="B99" s="22">
        <v>370102</v>
      </c>
      <c r="C99" s="22">
        <v>25117</v>
      </c>
      <c r="D99" s="22">
        <v>20683</v>
      </c>
    </row>
    <row r="100" spans="1:4" x14ac:dyDescent="0.3">
      <c r="A100" s="6" t="s">
        <v>460</v>
      </c>
      <c r="B100" s="22">
        <v>203696</v>
      </c>
      <c r="C100" s="22">
        <v>24101</v>
      </c>
      <c r="D100" s="22">
        <v>14263</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46C22-9845-4903-8C75-6CDE4060269D}">
  <dimension ref="A3:P9"/>
  <sheetViews>
    <sheetView workbookViewId="0">
      <selection activeCell="F17" sqref="F17"/>
    </sheetView>
  </sheetViews>
  <sheetFormatPr defaultRowHeight="14.4" x14ac:dyDescent="0.3"/>
  <cols>
    <col min="1" max="1" width="19.88671875" customWidth="1"/>
    <col min="2" max="2" width="17.44140625" customWidth="1"/>
    <col min="3" max="3" width="6.88671875" bestFit="1" customWidth="1"/>
    <col min="4" max="4" width="10.6640625" customWidth="1"/>
    <col min="5" max="5" width="10.33203125" bestFit="1" customWidth="1"/>
    <col min="6" max="6" width="12.88671875" customWidth="1"/>
    <col min="7" max="7" width="17.77734375" customWidth="1"/>
    <col min="8" max="8" width="13.88671875" customWidth="1"/>
    <col min="9" max="9" width="10.88671875" style="22" customWidth="1"/>
    <col min="10" max="10" width="9.6640625" style="22" customWidth="1"/>
    <col min="11" max="11" width="10.21875" style="22" customWidth="1"/>
    <col min="12" max="12" width="12" style="22" customWidth="1"/>
    <col min="13" max="13" width="10.109375" style="22" customWidth="1"/>
    <col min="14" max="14" width="9.21875" style="22" customWidth="1"/>
    <col min="15" max="15" width="10.33203125" style="22" customWidth="1"/>
    <col min="16" max="16" width="23.6640625" bestFit="1" customWidth="1"/>
  </cols>
  <sheetData>
    <row r="3" spans="1:16" x14ac:dyDescent="0.3">
      <c r="A3" s="13" t="s">
        <v>0</v>
      </c>
      <c r="B3" s="13" t="s">
        <v>486</v>
      </c>
      <c r="C3" s="14" t="s">
        <v>10</v>
      </c>
      <c r="D3" s="14" t="s">
        <v>485</v>
      </c>
      <c r="E3" s="14" t="s">
        <v>508</v>
      </c>
      <c r="F3" s="14" t="s">
        <v>487</v>
      </c>
      <c r="G3" s="14" t="s">
        <v>488</v>
      </c>
      <c r="H3" s="14" t="s">
        <v>1</v>
      </c>
      <c r="I3" s="18" t="s">
        <v>2</v>
      </c>
      <c r="J3" s="18" t="s">
        <v>3</v>
      </c>
      <c r="K3" s="18" t="s">
        <v>4</v>
      </c>
      <c r="L3" s="18" t="s">
        <v>5</v>
      </c>
      <c r="M3" s="18" t="s">
        <v>6</v>
      </c>
      <c r="N3" s="18" t="s">
        <v>7</v>
      </c>
      <c r="O3" s="18" t="s">
        <v>8</v>
      </c>
      <c r="P3" s="18" t="s">
        <v>526</v>
      </c>
    </row>
    <row r="4" spans="1:16" x14ac:dyDescent="0.3">
      <c r="A4" s="9" t="s">
        <v>210</v>
      </c>
      <c r="B4" s="9">
        <v>45514</v>
      </c>
      <c r="C4" s="7">
        <v>2024</v>
      </c>
      <c r="D4" s="7" t="str">
        <f t="shared" ref="D4:D9" si="0">TEXT(B4,"MMMM")</f>
        <v>August</v>
      </c>
      <c r="E4" s="7" t="str">
        <f t="shared" ref="E4:E9" si="1">TEXT(B4,"dddd")</f>
        <v>Saturday</v>
      </c>
      <c r="F4" s="10">
        <v>0.29583333333333334</v>
      </c>
      <c r="G4" s="10" t="str">
        <f t="shared" ref="G4:G9" si="2">TEXT(FLOOR(F4,"1:00"),"h:mm AM/PM") &amp; " – " &amp; TEXT(FLOOR(F4,"1:00") + TIME(1,0,0),"h:mm AM/PM")</f>
        <v>7:00 AM – 8:00 AM</v>
      </c>
      <c r="H4" s="7">
        <v>358</v>
      </c>
      <c r="I4" s="19">
        <v>567</v>
      </c>
      <c r="J4" s="19">
        <v>121389</v>
      </c>
      <c r="K4" s="19">
        <v>606337</v>
      </c>
      <c r="L4" s="19">
        <v>629</v>
      </c>
      <c r="M4" s="19">
        <v>49795</v>
      </c>
      <c r="N4" s="19">
        <v>13747</v>
      </c>
      <c r="O4" s="19">
        <v>671466</v>
      </c>
      <c r="P4" s="23">
        <v>0.18612768752839479</v>
      </c>
    </row>
    <row r="5" spans="1:16" x14ac:dyDescent="0.3">
      <c r="A5" s="11" t="s">
        <v>356</v>
      </c>
      <c r="B5" s="11">
        <v>45369</v>
      </c>
      <c r="C5" s="8">
        <v>2024</v>
      </c>
      <c r="D5" s="8" t="str">
        <f t="shared" si="0"/>
        <v>March</v>
      </c>
      <c r="E5" s="8" t="str">
        <f t="shared" si="1"/>
        <v>Monday</v>
      </c>
      <c r="F5" s="12">
        <v>0.2638888888888889</v>
      </c>
      <c r="G5" s="12" t="str">
        <f t="shared" si="2"/>
        <v>6:00 AM – 7:00 AM</v>
      </c>
      <c r="H5" s="8">
        <v>212</v>
      </c>
      <c r="I5" s="20">
        <v>141</v>
      </c>
      <c r="J5" s="20">
        <v>89336</v>
      </c>
      <c r="K5" s="20">
        <v>638798</v>
      </c>
      <c r="L5" s="20">
        <v>744</v>
      </c>
      <c r="M5" s="20">
        <v>40416</v>
      </c>
      <c r="N5" s="20">
        <v>19663</v>
      </c>
      <c r="O5" s="20">
        <v>767087</v>
      </c>
      <c r="P5" s="24">
        <v>0.1960922631107182</v>
      </c>
    </row>
    <row r="6" spans="1:16" x14ac:dyDescent="0.3">
      <c r="A6" s="9" t="s">
        <v>110</v>
      </c>
      <c r="B6" s="9">
        <v>45614</v>
      </c>
      <c r="C6" s="7">
        <v>2024</v>
      </c>
      <c r="D6" s="7" t="str">
        <f t="shared" si="0"/>
        <v>November</v>
      </c>
      <c r="E6" s="7" t="str">
        <f t="shared" si="1"/>
        <v>Monday</v>
      </c>
      <c r="F6" s="10">
        <v>0.53472222222222221</v>
      </c>
      <c r="G6" s="10" t="str">
        <f t="shared" si="2"/>
        <v>12:00 PM – 1:00 PM</v>
      </c>
      <c r="H6" s="7">
        <v>458</v>
      </c>
      <c r="I6" s="19">
        <v>774</v>
      </c>
      <c r="J6" s="19">
        <v>36507</v>
      </c>
      <c r="K6" s="19">
        <v>426039</v>
      </c>
      <c r="L6" s="19">
        <v>249</v>
      </c>
      <c r="M6" s="19">
        <v>13603</v>
      </c>
      <c r="N6" s="19">
        <v>10993</v>
      </c>
      <c r="O6" s="19">
        <v>445364</v>
      </c>
      <c r="P6" s="25">
        <v>0.13078148598371828</v>
      </c>
    </row>
    <row r="7" spans="1:16" x14ac:dyDescent="0.3">
      <c r="A7" s="11" t="s">
        <v>230</v>
      </c>
      <c r="B7" s="11">
        <v>45494</v>
      </c>
      <c r="C7" s="8">
        <v>2024</v>
      </c>
      <c r="D7" s="8" t="str">
        <f t="shared" si="0"/>
        <v>July</v>
      </c>
      <c r="E7" s="8" t="str">
        <f t="shared" si="1"/>
        <v>Sunday</v>
      </c>
      <c r="F7" s="12">
        <v>0.29097222222222224</v>
      </c>
      <c r="G7" s="12" t="str">
        <f t="shared" si="2"/>
        <v>6:00 AM – 7:00 AM</v>
      </c>
      <c r="H7" s="8">
        <v>338</v>
      </c>
      <c r="I7" s="20">
        <v>569</v>
      </c>
      <c r="J7" s="20">
        <v>25117</v>
      </c>
      <c r="K7" s="20">
        <v>370102</v>
      </c>
      <c r="L7" s="20">
        <v>221</v>
      </c>
      <c r="M7" s="20">
        <v>20683</v>
      </c>
      <c r="N7" s="20">
        <v>8812</v>
      </c>
      <c r="O7" s="20">
        <v>392092</v>
      </c>
      <c r="P7" s="24">
        <v>0.1136104664726612</v>
      </c>
    </row>
    <row r="8" spans="1:16" x14ac:dyDescent="0.3">
      <c r="A8" s="9" t="s">
        <v>68</v>
      </c>
      <c r="B8" s="9">
        <v>45656</v>
      </c>
      <c r="C8" s="7">
        <v>2024</v>
      </c>
      <c r="D8" s="7" t="str">
        <f t="shared" si="0"/>
        <v>December</v>
      </c>
      <c r="E8" s="7" t="str">
        <f t="shared" si="1"/>
        <v>Monday</v>
      </c>
      <c r="F8" s="10">
        <v>0.5756944444444444</v>
      </c>
      <c r="G8" s="10" t="str">
        <f>TEXT(FLOOR(F8,"1:00"),"h:mm AM/PM") &amp; " – " &amp; TEXT(FLOOR(F8,"1:00") + TIME(1,0,0),"h:mm AM/PM")</f>
        <v>1:00 PM – 2:00 PM</v>
      </c>
      <c r="H8" s="7">
        <v>500</v>
      </c>
      <c r="I8" s="19">
        <v>824</v>
      </c>
      <c r="J8" s="19">
        <v>24317</v>
      </c>
      <c r="K8" s="19">
        <v>561399</v>
      </c>
      <c r="L8" s="19">
        <v>262</v>
      </c>
      <c r="M8" s="19">
        <v>15842</v>
      </c>
      <c r="N8" s="19">
        <v>10816</v>
      </c>
      <c r="O8" s="19">
        <v>570352</v>
      </c>
      <c r="P8" s="25">
        <v>0.17233303864147051</v>
      </c>
    </row>
    <row r="9" spans="1:16" x14ac:dyDescent="0.3">
      <c r="A9" s="15" t="s">
        <v>460</v>
      </c>
      <c r="B9" s="15">
        <v>45266</v>
      </c>
      <c r="C9" s="16">
        <v>2023</v>
      </c>
      <c r="D9" s="16" t="str">
        <f t="shared" si="0"/>
        <v>December</v>
      </c>
      <c r="E9" s="16" t="str">
        <f t="shared" si="1"/>
        <v>Wednesday</v>
      </c>
      <c r="F9" s="17">
        <v>0.20416666666666666</v>
      </c>
      <c r="G9" s="17" t="str">
        <f t="shared" si="2"/>
        <v>4:00 AM – 5:00 AM</v>
      </c>
      <c r="H9" s="16">
        <v>106</v>
      </c>
      <c r="I9" s="21">
        <v>29</v>
      </c>
      <c r="J9" s="21">
        <v>24101</v>
      </c>
      <c r="K9" s="21">
        <v>203696</v>
      </c>
      <c r="L9" s="21">
        <v>67</v>
      </c>
      <c r="M9" s="21">
        <v>14263</v>
      </c>
      <c r="N9" s="21">
        <v>5138</v>
      </c>
      <c r="O9" s="21">
        <v>218758</v>
      </c>
      <c r="P9" s="26">
        <v>6.2528701759555994E-2</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00AE0-4808-442A-A319-CE734A6206C2}">
  <dimension ref="A1:P475"/>
  <sheetViews>
    <sheetView workbookViewId="0">
      <selection activeCell="K9" sqref="K9"/>
    </sheetView>
  </sheetViews>
  <sheetFormatPr defaultRowHeight="14.4" x14ac:dyDescent="0.3"/>
  <cols>
    <col min="1" max="1" width="18.88671875" bestFit="1" customWidth="1"/>
    <col min="2" max="2" width="16.5546875" bestFit="1" customWidth="1"/>
    <col min="3" max="3" width="6.5546875" customWidth="1"/>
    <col min="4" max="4" width="9.77734375" bestFit="1" customWidth="1"/>
    <col min="5" max="5" width="10.33203125" bestFit="1" customWidth="1"/>
    <col min="6" max="6" width="12.88671875" customWidth="1"/>
    <col min="7" max="7" width="17.5546875" bestFit="1" customWidth="1"/>
    <col min="8" max="8" width="13.6640625" customWidth="1"/>
    <col min="9" max="9" width="10.88671875" customWidth="1"/>
    <col min="10" max="10" width="7.21875" customWidth="1"/>
    <col min="11" max="11" width="8" customWidth="1"/>
    <col min="12" max="12" width="12" customWidth="1"/>
    <col min="13" max="13" width="8.5546875" customWidth="1"/>
    <col min="14" max="14" width="7.77734375" customWidth="1"/>
    <col min="15" max="15" width="7.33203125" customWidth="1"/>
    <col min="16" max="16" width="17.21875" customWidth="1"/>
  </cols>
  <sheetData>
    <row r="1" spans="1:16" x14ac:dyDescent="0.3">
      <c r="A1" s="13" t="s">
        <v>0</v>
      </c>
      <c r="B1" s="13" t="s">
        <v>486</v>
      </c>
      <c r="C1" s="14" t="s">
        <v>10</v>
      </c>
      <c r="D1" s="14" t="s">
        <v>485</v>
      </c>
      <c r="E1" s="14" t="s">
        <v>508</v>
      </c>
      <c r="F1" s="14" t="s">
        <v>487</v>
      </c>
      <c r="G1" s="14" t="s">
        <v>488</v>
      </c>
      <c r="H1" s="14" t="s">
        <v>1</v>
      </c>
      <c r="I1" s="14" t="s">
        <v>2</v>
      </c>
      <c r="J1" s="14" t="s">
        <v>3</v>
      </c>
      <c r="K1" s="14" t="s">
        <v>4</v>
      </c>
      <c r="L1" s="14" t="s">
        <v>5</v>
      </c>
      <c r="M1" s="14" t="s">
        <v>6</v>
      </c>
      <c r="N1" s="14" t="s">
        <v>7</v>
      </c>
      <c r="O1" s="14" t="s">
        <v>8</v>
      </c>
      <c r="P1" s="14" t="s">
        <v>9</v>
      </c>
    </row>
    <row r="2" spans="1:16" x14ac:dyDescent="0.3">
      <c r="A2" s="9" t="s">
        <v>210</v>
      </c>
      <c r="B2" s="9">
        <v>45514</v>
      </c>
      <c r="C2" s="7">
        <v>2024</v>
      </c>
      <c r="D2" s="7" t="str">
        <f t="shared" ref="D2:D65" si="0">TEXT(B2,"MMMM")</f>
        <v>August</v>
      </c>
      <c r="E2" s="7" t="str">
        <f t="shared" ref="E2:E65" si="1">TEXT(B2,"dddd")</f>
        <v>Saturday</v>
      </c>
      <c r="F2" s="10">
        <v>0.29583333333333334</v>
      </c>
      <c r="G2" s="10" t="str">
        <f t="shared" ref="G2:G65" si="2">TEXT(FLOOR(F2,"1:00"),"h:mm AM/PM") &amp; " – " &amp; TEXT(FLOOR(F2,"1:00") + TIME(1,0,0),"h:mm AM/PM")</f>
        <v>7:00 AM – 8:00 AM</v>
      </c>
      <c r="H2" s="7">
        <v>358</v>
      </c>
      <c r="I2" s="7">
        <v>567</v>
      </c>
      <c r="J2" s="7">
        <v>121389</v>
      </c>
      <c r="K2" s="7">
        <v>606337</v>
      </c>
      <c r="L2" s="7">
        <v>629</v>
      </c>
      <c r="M2" s="7">
        <v>49795</v>
      </c>
      <c r="N2" s="7">
        <v>13747</v>
      </c>
      <c r="O2" s="7">
        <v>671466</v>
      </c>
      <c r="P2" s="7">
        <v>2</v>
      </c>
    </row>
    <row r="3" spans="1:16" x14ac:dyDescent="0.3">
      <c r="A3" s="11" t="s">
        <v>356</v>
      </c>
      <c r="B3" s="11">
        <v>45369</v>
      </c>
      <c r="C3" s="8">
        <v>2024</v>
      </c>
      <c r="D3" s="8" t="str">
        <f t="shared" si="0"/>
        <v>March</v>
      </c>
      <c r="E3" s="8" t="str">
        <f t="shared" si="1"/>
        <v>Monday</v>
      </c>
      <c r="F3" s="12">
        <v>0.2638888888888889</v>
      </c>
      <c r="G3" s="12" t="str">
        <f t="shared" si="2"/>
        <v>6:00 AM – 7:00 AM</v>
      </c>
      <c r="H3" s="8">
        <v>212</v>
      </c>
      <c r="I3" s="8">
        <v>141</v>
      </c>
      <c r="J3" s="8">
        <v>89336</v>
      </c>
      <c r="K3" s="8">
        <v>638798</v>
      </c>
      <c r="L3" s="8">
        <v>744</v>
      </c>
      <c r="M3" s="8">
        <v>40416</v>
      </c>
      <c r="N3" s="8">
        <v>19663</v>
      </c>
      <c r="O3" s="8">
        <v>767087</v>
      </c>
      <c r="P3" s="8">
        <v>0</v>
      </c>
    </row>
    <row r="4" spans="1:16" x14ac:dyDescent="0.3">
      <c r="A4" s="9" t="s">
        <v>110</v>
      </c>
      <c r="B4" s="9">
        <v>45614</v>
      </c>
      <c r="C4" s="7">
        <v>2024</v>
      </c>
      <c r="D4" s="7" t="str">
        <f t="shared" si="0"/>
        <v>November</v>
      </c>
      <c r="E4" s="7" t="str">
        <f t="shared" si="1"/>
        <v>Monday</v>
      </c>
      <c r="F4" s="10">
        <v>0.53472222222222221</v>
      </c>
      <c r="G4" s="10" t="str">
        <f t="shared" si="2"/>
        <v>12:00 PM – 1:00 PM</v>
      </c>
      <c r="H4" s="7">
        <v>458</v>
      </c>
      <c r="I4" s="7">
        <v>774</v>
      </c>
      <c r="J4" s="7">
        <v>36507</v>
      </c>
      <c r="K4" s="7">
        <v>426039</v>
      </c>
      <c r="L4" s="7">
        <v>249</v>
      </c>
      <c r="M4" s="7">
        <v>13603</v>
      </c>
      <c r="N4" s="7">
        <v>10993</v>
      </c>
      <c r="O4" s="7">
        <v>445364</v>
      </c>
      <c r="P4" s="7">
        <v>-2</v>
      </c>
    </row>
    <row r="5" spans="1:16" x14ac:dyDescent="0.3">
      <c r="A5" s="11" t="s">
        <v>230</v>
      </c>
      <c r="B5" s="11">
        <v>45494</v>
      </c>
      <c r="C5" s="8">
        <v>2024</v>
      </c>
      <c r="D5" s="8" t="str">
        <f t="shared" si="0"/>
        <v>July</v>
      </c>
      <c r="E5" s="8" t="str">
        <f t="shared" si="1"/>
        <v>Sunday</v>
      </c>
      <c r="F5" s="12">
        <v>0.29097222222222224</v>
      </c>
      <c r="G5" s="12" t="str">
        <f t="shared" si="2"/>
        <v>6:00 AM – 7:00 AM</v>
      </c>
      <c r="H5" s="8">
        <v>338</v>
      </c>
      <c r="I5" s="8">
        <v>569</v>
      </c>
      <c r="J5" s="8">
        <v>25117</v>
      </c>
      <c r="K5" s="8">
        <v>370102</v>
      </c>
      <c r="L5" s="8">
        <v>221</v>
      </c>
      <c r="M5" s="8">
        <v>20683</v>
      </c>
      <c r="N5" s="8">
        <v>8812</v>
      </c>
      <c r="O5" s="8">
        <v>392092</v>
      </c>
      <c r="P5" s="8">
        <v>0</v>
      </c>
    </row>
    <row r="6" spans="1:16" x14ac:dyDescent="0.3">
      <c r="A6" s="9" t="s">
        <v>68</v>
      </c>
      <c r="B6" s="9">
        <v>45656</v>
      </c>
      <c r="C6" s="7">
        <v>2024</v>
      </c>
      <c r="D6" s="7" t="str">
        <f t="shared" si="0"/>
        <v>December</v>
      </c>
      <c r="E6" s="7" t="str">
        <f t="shared" si="1"/>
        <v>Monday</v>
      </c>
      <c r="F6" s="10">
        <v>0.5756944444444444</v>
      </c>
      <c r="G6" s="10" t="str">
        <f t="shared" si="2"/>
        <v>1:00 PM – 2:00 PM</v>
      </c>
      <c r="H6" s="7">
        <v>500</v>
      </c>
      <c r="I6" s="7">
        <v>824</v>
      </c>
      <c r="J6" s="7">
        <v>24317</v>
      </c>
      <c r="K6" s="7">
        <v>561399</v>
      </c>
      <c r="L6" s="7">
        <v>262</v>
      </c>
      <c r="M6" s="7">
        <v>15842</v>
      </c>
      <c r="N6" s="7">
        <v>10816</v>
      </c>
      <c r="O6" s="7">
        <v>570352</v>
      </c>
      <c r="P6" s="7">
        <v>0</v>
      </c>
    </row>
    <row r="7" spans="1:16" x14ac:dyDescent="0.3">
      <c r="A7" s="11" t="s">
        <v>460</v>
      </c>
      <c r="B7" s="11">
        <v>45266</v>
      </c>
      <c r="C7" s="8">
        <v>2023</v>
      </c>
      <c r="D7" s="8" t="str">
        <f t="shared" si="0"/>
        <v>December</v>
      </c>
      <c r="E7" s="8" t="str">
        <f t="shared" si="1"/>
        <v>Wednesday</v>
      </c>
      <c r="F7" s="12">
        <v>0.20416666666666666</v>
      </c>
      <c r="G7" s="12" t="str">
        <f t="shared" si="2"/>
        <v>4:00 AM – 5:00 AM</v>
      </c>
      <c r="H7" s="8">
        <v>106</v>
      </c>
      <c r="I7" s="8">
        <v>29</v>
      </c>
      <c r="J7" s="8">
        <v>24101</v>
      </c>
      <c r="K7" s="8">
        <v>203696</v>
      </c>
      <c r="L7" s="8">
        <v>67</v>
      </c>
      <c r="M7" s="8">
        <v>14263</v>
      </c>
      <c r="N7" s="8">
        <v>5138</v>
      </c>
      <c r="O7" s="8">
        <v>218758</v>
      </c>
      <c r="P7" s="8">
        <v>0</v>
      </c>
    </row>
    <row r="8" spans="1:16" x14ac:dyDescent="0.3">
      <c r="A8" s="9" t="s">
        <v>307</v>
      </c>
      <c r="B8" s="9">
        <v>45417</v>
      </c>
      <c r="C8" s="7">
        <v>2024</v>
      </c>
      <c r="D8" s="7" t="str">
        <f t="shared" si="0"/>
        <v>May</v>
      </c>
      <c r="E8" s="7" t="str">
        <f t="shared" si="1"/>
        <v>Sunday</v>
      </c>
      <c r="F8" s="10">
        <v>0.29097222222222224</v>
      </c>
      <c r="G8" s="10" t="str">
        <f t="shared" si="2"/>
        <v>6:00 AM – 7:00 AM</v>
      </c>
      <c r="H8" s="7">
        <v>261</v>
      </c>
      <c r="I8" s="7">
        <v>474</v>
      </c>
      <c r="J8" s="7">
        <v>6304</v>
      </c>
      <c r="K8" s="7">
        <v>55259</v>
      </c>
      <c r="L8" s="7">
        <v>91</v>
      </c>
      <c r="M8" s="7">
        <v>2389</v>
      </c>
      <c r="N8" s="7">
        <v>831</v>
      </c>
      <c r="O8" s="7">
        <v>59330</v>
      </c>
      <c r="P8" s="7">
        <v>3</v>
      </c>
    </row>
    <row r="9" spans="1:16" x14ac:dyDescent="0.3">
      <c r="A9" s="11" t="s">
        <v>386</v>
      </c>
      <c r="B9" s="11">
        <v>45339</v>
      </c>
      <c r="C9" s="8">
        <v>2024</v>
      </c>
      <c r="D9" s="8" t="str">
        <f t="shared" si="0"/>
        <v>February</v>
      </c>
      <c r="E9" s="8" t="str">
        <f t="shared" si="1"/>
        <v>Saturday</v>
      </c>
      <c r="F9" s="12">
        <v>0.18680555555555556</v>
      </c>
      <c r="G9" s="12" t="str">
        <f t="shared" si="2"/>
        <v>4:00 AM – 5:00 AM</v>
      </c>
      <c r="H9" s="8">
        <v>182</v>
      </c>
      <c r="I9" s="8">
        <v>126</v>
      </c>
      <c r="J9" s="8">
        <v>3487</v>
      </c>
      <c r="K9" s="8">
        <v>31325</v>
      </c>
      <c r="L9" s="8">
        <v>10</v>
      </c>
      <c r="M9" s="8">
        <v>1051</v>
      </c>
      <c r="N9" s="8">
        <v>662</v>
      </c>
      <c r="O9" s="8">
        <v>33118</v>
      </c>
      <c r="P9" s="8">
        <v>1</v>
      </c>
    </row>
    <row r="10" spans="1:16" x14ac:dyDescent="0.3">
      <c r="A10" s="9" t="s">
        <v>350</v>
      </c>
      <c r="B10" s="9">
        <v>45375</v>
      </c>
      <c r="C10" s="7">
        <v>2024</v>
      </c>
      <c r="D10" s="7" t="str">
        <f t="shared" si="0"/>
        <v>March</v>
      </c>
      <c r="E10" s="7" t="str">
        <f t="shared" si="1"/>
        <v>Sunday</v>
      </c>
      <c r="F10" s="10">
        <v>0.24027777777777778</v>
      </c>
      <c r="G10" s="10" t="str">
        <f t="shared" si="2"/>
        <v>5:00 AM – 6:00 AM</v>
      </c>
      <c r="H10" s="7">
        <v>218</v>
      </c>
      <c r="I10" s="7">
        <v>163</v>
      </c>
      <c r="J10" s="7">
        <v>3011</v>
      </c>
      <c r="K10" s="7">
        <v>56349</v>
      </c>
      <c r="L10" s="7">
        <v>60</v>
      </c>
      <c r="M10" s="7">
        <v>2261</v>
      </c>
      <c r="N10" s="7">
        <v>1185</v>
      </c>
      <c r="O10" s="7">
        <v>59530</v>
      </c>
      <c r="P10" s="7">
        <v>4</v>
      </c>
    </row>
    <row r="11" spans="1:16" x14ac:dyDescent="0.3">
      <c r="A11" s="11" t="s">
        <v>46</v>
      </c>
      <c r="B11" s="11">
        <v>45678</v>
      </c>
      <c r="C11" s="8">
        <v>2025</v>
      </c>
      <c r="D11" s="8" t="str">
        <f t="shared" si="0"/>
        <v>January</v>
      </c>
      <c r="E11" s="8" t="str">
        <f t="shared" si="1"/>
        <v>Tuesday</v>
      </c>
      <c r="F11" s="12">
        <v>0.57499999999999996</v>
      </c>
      <c r="G11" s="12" t="str">
        <f t="shared" si="2"/>
        <v>1:00 PM – 2:00 PM</v>
      </c>
      <c r="H11" s="8">
        <v>522</v>
      </c>
      <c r="I11" s="8">
        <v>1286</v>
      </c>
      <c r="J11" s="8">
        <v>1894</v>
      </c>
      <c r="K11" s="8">
        <v>28169</v>
      </c>
      <c r="L11" s="8">
        <v>8</v>
      </c>
      <c r="M11" s="8">
        <v>2556</v>
      </c>
      <c r="N11" s="8">
        <v>244</v>
      </c>
      <c r="O11" s="8">
        <v>28341</v>
      </c>
      <c r="P11" s="8">
        <v>1</v>
      </c>
    </row>
    <row r="12" spans="1:16" x14ac:dyDescent="0.3">
      <c r="A12" s="9" t="s">
        <v>143</v>
      </c>
      <c r="B12" s="9">
        <v>45581</v>
      </c>
      <c r="C12" s="7">
        <v>2024</v>
      </c>
      <c r="D12" s="7" t="str">
        <f t="shared" si="0"/>
        <v>October</v>
      </c>
      <c r="E12" s="7" t="str">
        <f t="shared" si="1"/>
        <v>Wednesday</v>
      </c>
      <c r="F12" s="10">
        <v>0.31041666666666667</v>
      </c>
      <c r="G12" s="10" t="str">
        <f t="shared" si="2"/>
        <v>7:00 AM – 8:00 AM</v>
      </c>
      <c r="H12" s="7">
        <v>425</v>
      </c>
      <c r="I12" s="7">
        <v>743</v>
      </c>
      <c r="J12" s="7">
        <v>1039</v>
      </c>
      <c r="K12" s="7">
        <v>19124</v>
      </c>
      <c r="L12" s="7">
        <v>20</v>
      </c>
      <c r="M12" s="7">
        <v>675</v>
      </c>
      <c r="N12" s="7">
        <v>241</v>
      </c>
      <c r="O12" s="7">
        <v>19592</v>
      </c>
      <c r="P12" s="7">
        <v>-1</v>
      </c>
    </row>
    <row r="13" spans="1:16" x14ac:dyDescent="0.3">
      <c r="A13" s="11" t="s">
        <v>94</v>
      </c>
      <c r="B13" s="11">
        <v>45630</v>
      </c>
      <c r="C13" s="8">
        <v>2024</v>
      </c>
      <c r="D13" s="8" t="str">
        <f t="shared" si="0"/>
        <v>December</v>
      </c>
      <c r="E13" s="8" t="str">
        <f t="shared" si="1"/>
        <v>Wednesday</v>
      </c>
      <c r="F13" s="12">
        <v>0.85833333333333328</v>
      </c>
      <c r="G13" s="12" t="str">
        <f t="shared" si="2"/>
        <v>8:00 PM – 9:00 PM</v>
      </c>
      <c r="H13" s="8">
        <v>474</v>
      </c>
      <c r="I13" s="8">
        <v>785</v>
      </c>
      <c r="J13" s="8">
        <v>758</v>
      </c>
      <c r="K13" s="8">
        <v>7307</v>
      </c>
      <c r="L13" s="8">
        <v>8</v>
      </c>
      <c r="M13" s="8">
        <v>518</v>
      </c>
      <c r="N13" s="8">
        <v>44</v>
      </c>
      <c r="O13" s="8">
        <v>7339</v>
      </c>
      <c r="P13" s="8">
        <v>3</v>
      </c>
    </row>
    <row r="14" spans="1:16" x14ac:dyDescent="0.3">
      <c r="A14" s="9" t="s">
        <v>272</v>
      </c>
      <c r="B14" s="9">
        <v>45452</v>
      </c>
      <c r="C14" s="7">
        <v>2024</v>
      </c>
      <c r="D14" s="7" t="str">
        <f t="shared" si="0"/>
        <v>June</v>
      </c>
      <c r="E14" s="7" t="str">
        <f t="shared" si="1"/>
        <v>Sunday</v>
      </c>
      <c r="F14" s="10">
        <v>0.27430555555555558</v>
      </c>
      <c r="G14" s="10" t="str">
        <f t="shared" si="2"/>
        <v>6:00 AM – 7:00 AM</v>
      </c>
      <c r="H14" s="7">
        <v>296</v>
      </c>
      <c r="I14" s="7">
        <v>516</v>
      </c>
      <c r="J14" s="7">
        <v>694</v>
      </c>
      <c r="K14" s="7">
        <v>7762</v>
      </c>
      <c r="L14" s="7">
        <v>25</v>
      </c>
      <c r="M14" s="7">
        <v>166</v>
      </c>
      <c r="N14" s="7">
        <v>208</v>
      </c>
      <c r="O14" s="7">
        <v>8849</v>
      </c>
      <c r="P14" s="7">
        <v>2</v>
      </c>
    </row>
    <row r="15" spans="1:16" x14ac:dyDescent="0.3">
      <c r="A15" s="11" t="s">
        <v>375</v>
      </c>
      <c r="B15" s="11">
        <v>45350</v>
      </c>
      <c r="C15" s="8">
        <v>2024</v>
      </c>
      <c r="D15" s="8" t="str">
        <f t="shared" si="0"/>
        <v>February</v>
      </c>
      <c r="E15" s="8" t="str">
        <f t="shared" si="1"/>
        <v>Wednesday</v>
      </c>
      <c r="F15" s="12">
        <v>0.2048611111111111</v>
      </c>
      <c r="G15" s="12" t="str">
        <f t="shared" si="2"/>
        <v>4:00 AM – 5:00 AM</v>
      </c>
      <c r="H15" s="8">
        <v>193</v>
      </c>
      <c r="I15" s="8">
        <v>129</v>
      </c>
      <c r="J15" s="8">
        <v>350</v>
      </c>
      <c r="K15" s="8">
        <v>9308</v>
      </c>
      <c r="L15" s="8">
        <v>12</v>
      </c>
      <c r="M15" s="8">
        <v>373</v>
      </c>
      <c r="N15" s="8">
        <v>45</v>
      </c>
      <c r="O15" s="8">
        <v>9411</v>
      </c>
      <c r="P15" s="8">
        <v>-2</v>
      </c>
    </row>
    <row r="16" spans="1:16" x14ac:dyDescent="0.3">
      <c r="A16" s="9" t="s">
        <v>339</v>
      </c>
      <c r="B16" s="9">
        <v>45385</v>
      </c>
      <c r="C16" s="7">
        <v>2024</v>
      </c>
      <c r="D16" s="7" t="str">
        <f t="shared" si="0"/>
        <v>April</v>
      </c>
      <c r="E16" s="7" t="str">
        <f t="shared" si="1"/>
        <v>Wednesday</v>
      </c>
      <c r="F16" s="10">
        <v>0.21805555555555556</v>
      </c>
      <c r="G16" s="10" t="str">
        <f t="shared" si="2"/>
        <v>5:00 AM – 6:00 AM</v>
      </c>
      <c r="H16" s="7">
        <v>229</v>
      </c>
      <c r="I16" s="7">
        <v>305</v>
      </c>
      <c r="J16" s="7">
        <v>332</v>
      </c>
      <c r="K16" s="7">
        <v>6793</v>
      </c>
      <c r="L16" s="7">
        <v>8</v>
      </c>
      <c r="M16" s="7">
        <v>152</v>
      </c>
      <c r="N16" s="7">
        <v>180</v>
      </c>
      <c r="O16" s="7">
        <v>7010</v>
      </c>
      <c r="P16" s="7">
        <v>13</v>
      </c>
    </row>
    <row r="17" spans="1:16" x14ac:dyDescent="0.3">
      <c r="A17" s="11" t="s">
        <v>361</v>
      </c>
      <c r="B17" s="11">
        <v>45364</v>
      </c>
      <c r="C17" s="8">
        <v>2024</v>
      </c>
      <c r="D17" s="8" t="str">
        <f t="shared" si="0"/>
        <v>March</v>
      </c>
      <c r="E17" s="8" t="str">
        <f t="shared" si="1"/>
        <v>Wednesday</v>
      </c>
      <c r="F17" s="12">
        <v>0.21666666666666667</v>
      </c>
      <c r="G17" s="12" t="str">
        <f t="shared" si="2"/>
        <v>5:00 AM – 6:00 AM</v>
      </c>
      <c r="H17" s="8">
        <v>207</v>
      </c>
      <c r="I17" s="8">
        <v>139</v>
      </c>
      <c r="J17" s="8">
        <v>273</v>
      </c>
      <c r="K17" s="8">
        <v>3595</v>
      </c>
      <c r="L17" s="8">
        <v>5</v>
      </c>
      <c r="M17" s="8">
        <v>91</v>
      </c>
      <c r="N17" s="8">
        <v>113</v>
      </c>
      <c r="O17" s="8">
        <v>3775</v>
      </c>
      <c r="P17" s="8">
        <v>1</v>
      </c>
    </row>
    <row r="18" spans="1:16" x14ac:dyDescent="0.3">
      <c r="A18" s="9" t="s">
        <v>80</v>
      </c>
      <c r="B18" s="9">
        <v>45644</v>
      </c>
      <c r="C18" s="7">
        <v>2024</v>
      </c>
      <c r="D18" s="7" t="str">
        <f t="shared" si="0"/>
        <v>December</v>
      </c>
      <c r="E18" s="7" t="str">
        <f t="shared" si="1"/>
        <v>Wednesday</v>
      </c>
      <c r="F18" s="10">
        <v>0.50069444444444444</v>
      </c>
      <c r="G18" s="10" t="str">
        <f t="shared" si="2"/>
        <v>12:00 PM – 1:00 PM</v>
      </c>
      <c r="H18" s="7">
        <v>488</v>
      </c>
      <c r="I18" s="7">
        <v>790</v>
      </c>
      <c r="J18" s="7">
        <v>218</v>
      </c>
      <c r="K18" s="7">
        <v>1910</v>
      </c>
      <c r="L18" s="7">
        <v>10</v>
      </c>
      <c r="M18" s="7">
        <v>43</v>
      </c>
      <c r="N18" s="7">
        <v>23</v>
      </c>
      <c r="O18" s="7">
        <v>1940</v>
      </c>
      <c r="P18" s="7">
        <v>-1</v>
      </c>
    </row>
    <row r="19" spans="1:16" x14ac:dyDescent="0.3">
      <c r="A19" s="11" t="s">
        <v>95</v>
      </c>
      <c r="B19" s="11">
        <v>45629</v>
      </c>
      <c r="C19" s="8">
        <v>2024</v>
      </c>
      <c r="D19" s="8" t="str">
        <f t="shared" si="0"/>
        <v>December</v>
      </c>
      <c r="E19" s="8" t="str">
        <f t="shared" si="1"/>
        <v>Tuesday</v>
      </c>
      <c r="F19" s="12">
        <v>0.47430555555555554</v>
      </c>
      <c r="G19" s="12" t="str">
        <f t="shared" si="2"/>
        <v>11:00 AM – 12:00 PM</v>
      </c>
      <c r="H19" s="8">
        <v>473</v>
      </c>
      <c r="I19" s="8">
        <v>782</v>
      </c>
      <c r="J19" s="8">
        <v>208</v>
      </c>
      <c r="K19" s="8">
        <v>1415</v>
      </c>
      <c r="L19" s="8">
        <v>1</v>
      </c>
      <c r="M19" s="8">
        <v>57</v>
      </c>
      <c r="N19" s="8">
        <v>8</v>
      </c>
      <c r="O19" s="8">
        <v>1429</v>
      </c>
      <c r="P19" s="8">
        <v>2</v>
      </c>
    </row>
    <row r="20" spans="1:16" x14ac:dyDescent="0.3">
      <c r="A20" s="9" t="s">
        <v>263</v>
      </c>
      <c r="B20" s="9">
        <v>45461</v>
      </c>
      <c r="C20" s="7">
        <v>2024</v>
      </c>
      <c r="D20" s="7" t="str">
        <f t="shared" si="0"/>
        <v>June</v>
      </c>
      <c r="E20" s="7" t="str">
        <f t="shared" si="1"/>
        <v>Tuesday</v>
      </c>
      <c r="F20" s="10">
        <v>0.27430555555555558</v>
      </c>
      <c r="G20" s="10" t="str">
        <f t="shared" si="2"/>
        <v>6:00 AM – 7:00 AM</v>
      </c>
      <c r="H20" s="7">
        <v>305</v>
      </c>
      <c r="I20" s="7">
        <v>521</v>
      </c>
      <c r="J20" s="7">
        <v>194</v>
      </c>
      <c r="K20" s="7">
        <v>1716</v>
      </c>
      <c r="L20" s="7">
        <v>3</v>
      </c>
      <c r="M20" s="7">
        <v>58</v>
      </c>
      <c r="N20" s="7">
        <v>15</v>
      </c>
      <c r="O20" s="7">
        <v>1960</v>
      </c>
      <c r="P20" s="7">
        <v>2</v>
      </c>
    </row>
    <row r="21" spans="1:16" x14ac:dyDescent="0.3">
      <c r="A21" s="11" t="s">
        <v>102</v>
      </c>
      <c r="B21" s="11">
        <v>45622</v>
      </c>
      <c r="C21" s="8">
        <v>2024</v>
      </c>
      <c r="D21" s="8" t="str">
        <f t="shared" si="0"/>
        <v>November</v>
      </c>
      <c r="E21" s="8" t="str">
        <f t="shared" si="1"/>
        <v>Tuesday</v>
      </c>
      <c r="F21" s="12">
        <v>0.55694444444444446</v>
      </c>
      <c r="G21" s="12" t="str">
        <f t="shared" si="2"/>
        <v>1:00 PM – 2:00 PM</v>
      </c>
      <c r="H21" s="8">
        <v>466</v>
      </c>
      <c r="I21" s="8">
        <v>778</v>
      </c>
      <c r="J21" s="8">
        <v>181</v>
      </c>
      <c r="K21" s="8">
        <v>1900</v>
      </c>
      <c r="L21" s="8">
        <v>10</v>
      </c>
      <c r="M21" s="8">
        <v>102</v>
      </c>
      <c r="N21" s="8">
        <v>13</v>
      </c>
      <c r="O21" s="8">
        <v>1839</v>
      </c>
      <c r="P21" s="8">
        <v>2</v>
      </c>
    </row>
    <row r="22" spans="1:16" x14ac:dyDescent="0.3">
      <c r="A22" s="9" t="s">
        <v>353</v>
      </c>
      <c r="B22" s="9">
        <v>45372</v>
      </c>
      <c r="C22" s="7">
        <v>2024</v>
      </c>
      <c r="D22" s="7" t="str">
        <f t="shared" si="0"/>
        <v>March</v>
      </c>
      <c r="E22" s="7" t="str">
        <f t="shared" si="1"/>
        <v>Thursday</v>
      </c>
      <c r="F22" s="10">
        <v>0.37708333333333333</v>
      </c>
      <c r="G22" s="10" t="str">
        <f t="shared" si="2"/>
        <v>9:00 AM – 10:00 AM</v>
      </c>
      <c r="H22" s="7">
        <v>215</v>
      </c>
      <c r="I22" s="7">
        <v>153</v>
      </c>
      <c r="J22" s="7">
        <v>178</v>
      </c>
      <c r="K22" s="7">
        <v>1528</v>
      </c>
      <c r="L22" s="7">
        <v>2</v>
      </c>
      <c r="M22" s="7">
        <v>41</v>
      </c>
      <c r="N22" s="7">
        <v>13</v>
      </c>
      <c r="O22" s="7">
        <v>1583</v>
      </c>
      <c r="P22" s="7">
        <v>8</v>
      </c>
    </row>
    <row r="23" spans="1:16" x14ac:dyDescent="0.3">
      <c r="A23" s="11" t="s">
        <v>30</v>
      </c>
      <c r="B23" s="11">
        <v>45694</v>
      </c>
      <c r="C23" s="8">
        <v>2025</v>
      </c>
      <c r="D23" s="8" t="str">
        <f t="shared" si="0"/>
        <v>February</v>
      </c>
      <c r="E23" s="8" t="str">
        <f t="shared" si="1"/>
        <v>Thursday</v>
      </c>
      <c r="F23" s="12">
        <v>0.63194444444444442</v>
      </c>
      <c r="G23" s="12" t="str">
        <f t="shared" si="2"/>
        <v>3:00 PM – 4:00 PM</v>
      </c>
      <c r="H23" s="8">
        <v>538</v>
      </c>
      <c r="I23" s="8">
        <v>1295</v>
      </c>
      <c r="J23" s="8">
        <v>169</v>
      </c>
      <c r="K23" s="8">
        <v>1466</v>
      </c>
      <c r="L23" s="8">
        <v>4</v>
      </c>
      <c r="M23" s="8">
        <v>36</v>
      </c>
      <c r="N23" s="8">
        <v>28</v>
      </c>
      <c r="O23" s="8">
        <v>1486</v>
      </c>
      <c r="P23" s="8">
        <v>-1</v>
      </c>
    </row>
    <row r="24" spans="1:16" x14ac:dyDescent="0.3">
      <c r="A24" s="9" t="s">
        <v>258</v>
      </c>
      <c r="B24" s="9">
        <v>45466</v>
      </c>
      <c r="C24" s="7">
        <v>2024</v>
      </c>
      <c r="D24" s="7" t="str">
        <f t="shared" si="0"/>
        <v>June</v>
      </c>
      <c r="E24" s="7" t="str">
        <f t="shared" si="1"/>
        <v>Sunday</v>
      </c>
      <c r="F24" s="10">
        <v>0.27500000000000002</v>
      </c>
      <c r="G24" s="10" t="str">
        <f t="shared" si="2"/>
        <v>6:00 AM – 7:00 AM</v>
      </c>
      <c r="H24" s="7">
        <v>310</v>
      </c>
      <c r="I24" s="7">
        <v>523</v>
      </c>
      <c r="J24" s="7">
        <v>163</v>
      </c>
      <c r="K24" s="7">
        <v>1044</v>
      </c>
      <c r="L24" s="7">
        <v>1</v>
      </c>
      <c r="M24" s="7">
        <v>17</v>
      </c>
      <c r="N24" s="7">
        <v>18</v>
      </c>
      <c r="O24" s="7">
        <v>1270</v>
      </c>
      <c r="P24" s="7">
        <v>1</v>
      </c>
    </row>
    <row r="25" spans="1:16" x14ac:dyDescent="0.3">
      <c r="A25" s="11" t="s">
        <v>458</v>
      </c>
      <c r="B25" s="11">
        <v>45268</v>
      </c>
      <c r="C25" s="8">
        <v>2023</v>
      </c>
      <c r="D25" s="8" t="str">
        <f t="shared" si="0"/>
        <v>December</v>
      </c>
      <c r="E25" s="8" t="str">
        <f t="shared" si="1"/>
        <v>Friday</v>
      </c>
      <c r="F25" s="12">
        <v>0.27638888888888891</v>
      </c>
      <c r="G25" s="12" t="str">
        <f t="shared" si="2"/>
        <v>6:00 AM – 7:00 AM</v>
      </c>
      <c r="H25" s="8">
        <v>108</v>
      </c>
      <c r="I25" s="8">
        <v>29</v>
      </c>
      <c r="J25" s="8">
        <v>161</v>
      </c>
      <c r="K25" s="8">
        <v>1925</v>
      </c>
      <c r="L25" s="8">
        <v>3</v>
      </c>
      <c r="M25" s="8">
        <v>49</v>
      </c>
      <c r="N25" s="8">
        <v>16</v>
      </c>
      <c r="O25" s="8">
        <v>1999</v>
      </c>
      <c r="P25" s="8">
        <v>0</v>
      </c>
    </row>
    <row r="26" spans="1:16" x14ac:dyDescent="0.3">
      <c r="A26" s="9" t="s">
        <v>124</v>
      </c>
      <c r="B26" s="9">
        <v>45600</v>
      </c>
      <c r="C26" s="7">
        <v>2024</v>
      </c>
      <c r="D26" s="7" t="str">
        <f t="shared" si="0"/>
        <v>November</v>
      </c>
      <c r="E26" s="7" t="str">
        <f t="shared" si="1"/>
        <v>Monday</v>
      </c>
      <c r="F26" s="10">
        <v>0.47152777777777777</v>
      </c>
      <c r="G26" s="10" t="str">
        <f t="shared" si="2"/>
        <v>11:00 AM – 12:00 PM</v>
      </c>
      <c r="H26" s="7">
        <v>444</v>
      </c>
      <c r="I26" s="7">
        <v>770</v>
      </c>
      <c r="J26" s="7">
        <v>158</v>
      </c>
      <c r="K26" s="7">
        <v>1401</v>
      </c>
      <c r="L26" s="7">
        <v>2</v>
      </c>
      <c r="M26" s="7">
        <v>68</v>
      </c>
      <c r="N26" s="7">
        <v>13</v>
      </c>
      <c r="O26" s="7">
        <v>1397</v>
      </c>
      <c r="P26" s="7">
        <v>1</v>
      </c>
    </row>
    <row r="27" spans="1:16" x14ac:dyDescent="0.3">
      <c r="A27" s="11" t="s">
        <v>406</v>
      </c>
      <c r="B27" s="11">
        <v>45319</v>
      </c>
      <c r="C27" s="8">
        <v>2024</v>
      </c>
      <c r="D27" s="8" t="str">
        <f t="shared" si="0"/>
        <v>January</v>
      </c>
      <c r="E27" s="8" t="str">
        <f t="shared" si="1"/>
        <v>Sunday</v>
      </c>
      <c r="F27" s="12">
        <v>0.14166666666666666</v>
      </c>
      <c r="G27" s="12" t="str">
        <f t="shared" si="2"/>
        <v>3:00 AM – 4:00 AM</v>
      </c>
      <c r="H27" s="8">
        <v>162</v>
      </c>
      <c r="I27" s="8">
        <v>121</v>
      </c>
      <c r="J27" s="8">
        <v>157</v>
      </c>
      <c r="K27" s="8">
        <v>2363</v>
      </c>
      <c r="L27" s="8">
        <v>12</v>
      </c>
      <c r="M27" s="8">
        <v>21</v>
      </c>
      <c r="N27" s="8">
        <v>9</v>
      </c>
      <c r="O27" s="8">
        <v>2424</v>
      </c>
      <c r="P27" s="8">
        <v>0</v>
      </c>
    </row>
    <row r="28" spans="1:16" x14ac:dyDescent="0.3">
      <c r="A28" s="9" t="s">
        <v>83</v>
      </c>
      <c r="B28" s="9">
        <v>45641</v>
      </c>
      <c r="C28" s="7">
        <v>2024</v>
      </c>
      <c r="D28" s="7" t="str">
        <f t="shared" si="0"/>
        <v>December</v>
      </c>
      <c r="E28" s="7" t="str">
        <f t="shared" si="1"/>
        <v>Sunday</v>
      </c>
      <c r="F28" s="10">
        <v>0.52152777777777781</v>
      </c>
      <c r="G28" s="10" t="str">
        <f t="shared" si="2"/>
        <v>12:00 PM – 1:00 PM</v>
      </c>
      <c r="H28" s="7">
        <v>485</v>
      </c>
      <c r="I28" s="7">
        <v>788</v>
      </c>
      <c r="J28" s="7">
        <v>156</v>
      </c>
      <c r="K28" s="7">
        <v>1770</v>
      </c>
      <c r="L28" s="7">
        <v>2</v>
      </c>
      <c r="M28" s="7">
        <v>52</v>
      </c>
      <c r="N28" s="7">
        <v>6</v>
      </c>
      <c r="O28" s="7">
        <v>1772</v>
      </c>
      <c r="P28" s="7">
        <v>-2</v>
      </c>
    </row>
    <row r="29" spans="1:16" x14ac:dyDescent="0.3">
      <c r="A29" s="11" t="s">
        <v>334</v>
      </c>
      <c r="B29" s="11">
        <v>45390</v>
      </c>
      <c r="C29" s="8">
        <v>2024</v>
      </c>
      <c r="D29" s="8" t="str">
        <f t="shared" si="0"/>
        <v>April</v>
      </c>
      <c r="E29" s="8" t="str">
        <f t="shared" si="1"/>
        <v>Monday</v>
      </c>
      <c r="F29" s="12">
        <v>0.20347222222222222</v>
      </c>
      <c r="G29" s="12" t="str">
        <f t="shared" si="2"/>
        <v>4:00 AM – 5:00 AM</v>
      </c>
      <c r="H29" s="8">
        <v>234</v>
      </c>
      <c r="I29" s="8">
        <v>355</v>
      </c>
      <c r="J29" s="8">
        <v>155</v>
      </c>
      <c r="K29" s="8">
        <v>2118</v>
      </c>
      <c r="L29" s="8">
        <v>2</v>
      </c>
      <c r="M29" s="8">
        <v>57</v>
      </c>
      <c r="N29" s="8">
        <v>16</v>
      </c>
      <c r="O29" s="8">
        <v>2162</v>
      </c>
      <c r="P29" s="8">
        <v>5</v>
      </c>
    </row>
    <row r="30" spans="1:16" x14ac:dyDescent="0.3">
      <c r="A30" s="9" t="s">
        <v>119</v>
      </c>
      <c r="B30" s="9">
        <v>45605</v>
      </c>
      <c r="C30" s="7">
        <v>2024</v>
      </c>
      <c r="D30" s="7" t="str">
        <f t="shared" si="0"/>
        <v>November</v>
      </c>
      <c r="E30" s="7" t="str">
        <f t="shared" si="1"/>
        <v>Saturday</v>
      </c>
      <c r="F30" s="10">
        <v>0.54027777777777775</v>
      </c>
      <c r="G30" s="10" t="str">
        <f t="shared" si="2"/>
        <v>12:00 PM – 1:00 PM</v>
      </c>
      <c r="H30" s="7">
        <v>449</v>
      </c>
      <c r="I30" s="7">
        <v>771</v>
      </c>
      <c r="J30" s="7">
        <v>154</v>
      </c>
      <c r="K30" s="7">
        <v>1370</v>
      </c>
      <c r="L30" s="7">
        <v>3</v>
      </c>
      <c r="M30" s="7">
        <v>37</v>
      </c>
      <c r="N30" s="7">
        <v>5</v>
      </c>
      <c r="O30" s="7">
        <v>1375</v>
      </c>
      <c r="P30" s="7">
        <v>-1</v>
      </c>
    </row>
    <row r="31" spans="1:16" x14ac:dyDescent="0.3">
      <c r="A31" s="11" t="s">
        <v>132</v>
      </c>
      <c r="B31" s="11">
        <v>45592</v>
      </c>
      <c r="C31" s="8">
        <v>2024</v>
      </c>
      <c r="D31" s="8" t="str">
        <f t="shared" si="0"/>
        <v>October</v>
      </c>
      <c r="E31" s="8" t="str">
        <f t="shared" si="1"/>
        <v>Sunday</v>
      </c>
      <c r="F31" s="12">
        <v>0.53611111111111109</v>
      </c>
      <c r="G31" s="12" t="str">
        <f t="shared" si="2"/>
        <v>12:00 PM – 1:00 PM</v>
      </c>
      <c r="H31" s="8">
        <v>436</v>
      </c>
      <c r="I31" s="8">
        <v>761</v>
      </c>
      <c r="J31" s="8">
        <v>151</v>
      </c>
      <c r="K31" s="8">
        <v>1668</v>
      </c>
      <c r="L31" s="8">
        <v>2</v>
      </c>
      <c r="M31" s="8">
        <v>52</v>
      </c>
      <c r="N31" s="8">
        <v>13</v>
      </c>
      <c r="O31" s="8">
        <v>1715</v>
      </c>
      <c r="P31" s="8">
        <v>1</v>
      </c>
    </row>
    <row r="32" spans="1:16" x14ac:dyDescent="0.3">
      <c r="A32" s="9" t="s">
        <v>347</v>
      </c>
      <c r="B32" s="9">
        <v>45378</v>
      </c>
      <c r="C32" s="7">
        <v>2024</v>
      </c>
      <c r="D32" s="7" t="str">
        <f t="shared" si="0"/>
        <v>March</v>
      </c>
      <c r="E32" s="7" t="str">
        <f t="shared" si="1"/>
        <v>Wednesday</v>
      </c>
      <c r="F32" s="10">
        <v>0.2361111111111111</v>
      </c>
      <c r="G32" s="10" t="str">
        <f t="shared" si="2"/>
        <v>5:00 AM – 6:00 AM</v>
      </c>
      <c r="H32" s="7">
        <v>221</v>
      </c>
      <c r="I32" s="7">
        <v>185</v>
      </c>
      <c r="J32" s="7">
        <v>146</v>
      </c>
      <c r="K32" s="7">
        <v>1770</v>
      </c>
      <c r="L32" s="7">
        <v>1</v>
      </c>
      <c r="M32" s="7">
        <v>10</v>
      </c>
      <c r="N32" s="7">
        <v>14</v>
      </c>
      <c r="O32" s="7">
        <v>1739</v>
      </c>
      <c r="P32" s="7">
        <v>4</v>
      </c>
    </row>
    <row r="33" spans="1:16" x14ac:dyDescent="0.3">
      <c r="A33" s="11" t="s">
        <v>127</v>
      </c>
      <c r="B33" s="11">
        <v>45597</v>
      </c>
      <c r="C33" s="8">
        <v>2024</v>
      </c>
      <c r="D33" s="8" t="str">
        <f t="shared" si="0"/>
        <v>November</v>
      </c>
      <c r="E33" s="8" t="str">
        <f t="shared" si="1"/>
        <v>Friday</v>
      </c>
      <c r="F33" s="12">
        <v>0.28333333333333333</v>
      </c>
      <c r="G33" s="12" t="str">
        <f t="shared" si="2"/>
        <v>6:00 AM – 7:00 AM</v>
      </c>
      <c r="H33" s="8">
        <v>441</v>
      </c>
      <c r="I33" s="8">
        <v>767</v>
      </c>
      <c r="J33" s="8">
        <v>145</v>
      </c>
      <c r="K33" s="8">
        <v>1406</v>
      </c>
      <c r="L33" s="8">
        <v>7</v>
      </c>
      <c r="M33" s="8">
        <v>60</v>
      </c>
      <c r="N33" s="8">
        <v>8</v>
      </c>
      <c r="O33" s="8">
        <v>1423</v>
      </c>
      <c r="P33" s="8">
        <v>2</v>
      </c>
    </row>
    <row r="34" spans="1:16" x14ac:dyDescent="0.3">
      <c r="A34" s="9" t="s">
        <v>107</v>
      </c>
      <c r="B34" s="9">
        <v>45617</v>
      </c>
      <c r="C34" s="7">
        <v>2024</v>
      </c>
      <c r="D34" s="7" t="str">
        <f t="shared" si="0"/>
        <v>November</v>
      </c>
      <c r="E34" s="7" t="str">
        <f t="shared" si="1"/>
        <v>Thursday</v>
      </c>
      <c r="F34" s="10">
        <v>0.47291666666666665</v>
      </c>
      <c r="G34" s="10" t="str">
        <f t="shared" si="2"/>
        <v>11:00 AM – 12:00 PM</v>
      </c>
      <c r="H34" s="7">
        <v>461</v>
      </c>
      <c r="I34" s="7">
        <v>774</v>
      </c>
      <c r="J34" s="7">
        <v>140</v>
      </c>
      <c r="K34" s="7">
        <v>1503</v>
      </c>
      <c r="L34" s="7">
        <v>2</v>
      </c>
      <c r="M34" s="7">
        <v>32</v>
      </c>
      <c r="N34" s="7">
        <v>9</v>
      </c>
      <c r="O34" s="7">
        <v>1501</v>
      </c>
      <c r="P34" s="7">
        <v>1</v>
      </c>
    </row>
    <row r="35" spans="1:16" x14ac:dyDescent="0.3">
      <c r="A35" s="11" t="s">
        <v>167</v>
      </c>
      <c r="B35" s="11">
        <v>45557</v>
      </c>
      <c r="C35" s="8">
        <v>2024</v>
      </c>
      <c r="D35" s="8" t="str">
        <f t="shared" si="0"/>
        <v>September</v>
      </c>
      <c r="E35" s="8" t="str">
        <f t="shared" si="1"/>
        <v>Sunday</v>
      </c>
      <c r="F35" s="12">
        <v>0.2986111111111111</v>
      </c>
      <c r="G35" s="12" t="str">
        <f t="shared" si="2"/>
        <v>7:00 AM – 8:00 AM</v>
      </c>
      <c r="H35" s="8">
        <v>401</v>
      </c>
      <c r="I35" s="8">
        <v>660</v>
      </c>
      <c r="J35" s="8">
        <v>138</v>
      </c>
      <c r="K35" s="8">
        <v>1460</v>
      </c>
      <c r="L35" s="8">
        <v>1</v>
      </c>
      <c r="M35" s="8">
        <v>67</v>
      </c>
      <c r="N35" s="8">
        <v>12</v>
      </c>
      <c r="O35" s="8">
        <v>1468</v>
      </c>
      <c r="P35" s="8">
        <v>5</v>
      </c>
    </row>
    <row r="36" spans="1:16" x14ac:dyDescent="0.3">
      <c r="A36" s="9" t="s">
        <v>178</v>
      </c>
      <c r="B36" s="9">
        <v>45546</v>
      </c>
      <c r="C36" s="7">
        <v>2024</v>
      </c>
      <c r="D36" s="7" t="str">
        <f t="shared" si="0"/>
        <v>September</v>
      </c>
      <c r="E36" s="7" t="str">
        <f t="shared" si="1"/>
        <v>Wednesday</v>
      </c>
      <c r="F36" s="10">
        <v>0.29791666666666666</v>
      </c>
      <c r="G36" s="10" t="str">
        <f t="shared" si="2"/>
        <v>7:00 AM – 8:00 AM</v>
      </c>
      <c r="H36" s="7">
        <v>390</v>
      </c>
      <c r="I36" s="7">
        <v>631</v>
      </c>
      <c r="J36" s="7">
        <v>134</v>
      </c>
      <c r="K36" s="7">
        <v>1295</v>
      </c>
      <c r="L36" s="7">
        <v>2</v>
      </c>
      <c r="M36" s="7">
        <v>60</v>
      </c>
      <c r="N36" s="7">
        <v>8</v>
      </c>
      <c r="O36" s="7">
        <v>1343</v>
      </c>
      <c r="P36" s="7">
        <v>0</v>
      </c>
    </row>
    <row r="37" spans="1:16" x14ac:dyDescent="0.3">
      <c r="A37" s="11" t="s">
        <v>86</v>
      </c>
      <c r="B37" s="11">
        <v>45638</v>
      </c>
      <c r="C37" s="8">
        <v>2024</v>
      </c>
      <c r="D37" s="8" t="str">
        <f t="shared" si="0"/>
        <v>December</v>
      </c>
      <c r="E37" s="8" t="str">
        <f t="shared" si="1"/>
        <v>Thursday</v>
      </c>
      <c r="F37" s="12">
        <v>0.54305555555555551</v>
      </c>
      <c r="G37" s="12" t="str">
        <f t="shared" si="2"/>
        <v>1:00 PM – 2:00 PM</v>
      </c>
      <c r="H37" s="8">
        <v>482</v>
      </c>
      <c r="I37" s="8">
        <v>788</v>
      </c>
      <c r="J37" s="8">
        <v>133</v>
      </c>
      <c r="K37" s="8">
        <v>1714</v>
      </c>
      <c r="L37" s="8">
        <v>2</v>
      </c>
      <c r="M37" s="8">
        <v>28</v>
      </c>
      <c r="N37" s="8">
        <v>12</v>
      </c>
      <c r="O37" s="8">
        <v>1710</v>
      </c>
      <c r="P37" s="8">
        <v>1</v>
      </c>
    </row>
    <row r="38" spans="1:16" x14ac:dyDescent="0.3">
      <c r="A38" s="9" t="s">
        <v>228</v>
      </c>
      <c r="B38" s="9">
        <v>45496</v>
      </c>
      <c r="C38" s="7">
        <v>2024</v>
      </c>
      <c r="D38" s="7" t="str">
        <f t="shared" si="0"/>
        <v>July</v>
      </c>
      <c r="E38" s="7" t="str">
        <f t="shared" si="1"/>
        <v>Tuesday</v>
      </c>
      <c r="F38" s="10">
        <v>0.28541666666666665</v>
      </c>
      <c r="G38" s="10" t="str">
        <f t="shared" si="2"/>
        <v>6:00 AM – 7:00 AM</v>
      </c>
      <c r="H38" s="7">
        <v>340</v>
      </c>
      <c r="I38" s="7">
        <v>568</v>
      </c>
      <c r="J38" s="7">
        <v>133</v>
      </c>
      <c r="K38" s="7">
        <v>1458</v>
      </c>
      <c r="L38" s="7">
        <v>4</v>
      </c>
      <c r="M38" s="7">
        <v>111</v>
      </c>
      <c r="N38" s="7">
        <v>39</v>
      </c>
      <c r="O38" s="7">
        <v>1789</v>
      </c>
      <c r="P38" s="7">
        <v>0</v>
      </c>
    </row>
    <row r="39" spans="1:16" x14ac:dyDescent="0.3">
      <c r="A39" s="11" t="s">
        <v>43</v>
      </c>
      <c r="B39" s="11">
        <v>45681</v>
      </c>
      <c r="C39" s="8">
        <v>2025</v>
      </c>
      <c r="D39" s="8" t="str">
        <f t="shared" si="0"/>
        <v>January</v>
      </c>
      <c r="E39" s="8" t="str">
        <f t="shared" si="1"/>
        <v>Friday</v>
      </c>
      <c r="F39" s="12">
        <v>0.65555555555555556</v>
      </c>
      <c r="G39" s="12" t="str">
        <f t="shared" si="2"/>
        <v>3:00 PM – 4:00 PM</v>
      </c>
      <c r="H39" s="8">
        <v>525</v>
      </c>
      <c r="I39" s="8">
        <v>1287</v>
      </c>
      <c r="J39" s="8">
        <v>129</v>
      </c>
      <c r="K39" s="8">
        <v>1739</v>
      </c>
      <c r="L39" s="8">
        <v>7</v>
      </c>
      <c r="M39" s="8">
        <v>89</v>
      </c>
      <c r="N39" s="8">
        <v>14</v>
      </c>
      <c r="O39" s="8">
        <v>1854</v>
      </c>
      <c r="P39" s="8">
        <v>-1</v>
      </c>
    </row>
    <row r="40" spans="1:16" x14ac:dyDescent="0.3">
      <c r="A40" s="9" t="s">
        <v>264</v>
      </c>
      <c r="B40" s="9">
        <v>45460</v>
      </c>
      <c r="C40" s="7">
        <v>2024</v>
      </c>
      <c r="D40" s="7" t="str">
        <f t="shared" si="0"/>
        <v>June</v>
      </c>
      <c r="E40" s="7" t="str">
        <f t="shared" si="1"/>
        <v>Monday</v>
      </c>
      <c r="F40" s="10">
        <v>0.27777777777777779</v>
      </c>
      <c r="G40" s="10" t="str">
        <f t="shared" si="2"/>
        <v>6:00 AM – 7:00 AM</v>
      </c>
      <c r="H40" s="7">
        <v>304</v>
      </c>
      <c r="I40" s="7">
        <v>519</v>
      </c>
      <c r="J40" s="7">
        <v>129</v>
      </c>
      <c r="K40" s="7">
        <v>1027</v>
      </c>
      <c r="L40" s="7">
        <v>2</v>
      </c>
      <c r="M40" s="7">
        <v>6</v>
      </c>
      <c r="N40" s="7">
        <v>11</v>
      </c>
      <c r="O40" s="7">
        <v>1151</v>
      </c>
      <c r="P40" s="7">
        <v>-1</v>
      </c>
    </row>
    <row r="41" spans="1:16" x14ac:dyDescent="0.3">
      <c r="A41" s="11" t="s">
        <v>99</v>
      </c>
      <c r="B41" s="11">
        <v>45625</v>
      </c>
      <c r="C41" s="8">
        <v>2024</v>
      </c>
      <c r="D41" s="8" t="str">
        <f t="shared" si="0"/>
        <v>November</v>
      </c>
      <c r="E41" s="8" t="str">
        <f t="shared" si="1"/>
        <v>Friday</v>
      </c>
      <c r="F41" s="12">
        <v>0.30972222222222223</v>
      </c>
      <c r="G41" s="12" t="str">
        <f t="shared" si="2"/>
        <v>7:00 AM – 8:00 AM</v>
      </c>
      <c r="H41" s="8">
        <v>469</v>
      </c>
      <c r="I41" s="8">
        <v>780</v>
      </c>
      <c r="J41" s="8">
        <v>128</v>
      </c>
      <c r="K41" s="8">
        <v>1311</v>
      </c>
      <c r="L41" s="8">
        <v>5</v>
      </c>
      <c r="M41" s="8">
        <v>8</v>
      </c>
      <c r="N41" s="8">
        <v>8</v>
      </c>
      <c r="O41" s="8">
        <v>1272</v>
      </c>
      <c r="P41" s="8">
        <v>0</v>
      </c>
    </row>
    <row r="42" spans="1:16" x14ac:dyDescent="0.3">
      <c r="A42" s="9" t="s">
        <v>376</v>
      </c>
      <c r="B42" s="9">
        <v>45349</v>
      </c>
      <c r="C42" s="7">
        <v>2024</v>
      </c>
      <c r="D42" s="7" t="str">
        <f t="shared" si="0"/>
        <v>February</v>
      </c>
      <c r="E42" s="7" t="str">
        <f t="shared" si="1"/>
        <v>Tuesday</v>
      </c>
      <c r="F42" s="10">
        <v>0.19444444444444445</v>
      </c>
      <c r="G42" s="10" t="str">
        <f t="shared" si="2"/>
        <v>4:00 AM – 5:00 AM</v>
      </c>
      <c r="H42" s="7">
        <v>192</v>
      </c>
      <c r="I42" s="7">
        <v>131</v>
      </c>
      <c r="J42" s="7">
        <v>128</v>
      </c>
      <c r="K42" s="7">
        <v>1333</v>
      </c>
      <c r="L42" s="7">
        <v>1</v>
      </c>
      <c r="M42" s="7">
        <v>55</v>
      </c>
      <c r="N42" s="7">
        <v>13</v>
      </c>
      <c r="O42" s="7">
        <v>1353</v>
      </c>
      <c r="P42" s="7">
        <v>0</v>
      </c>
    </row>
    <row r="43" spans="1:16" x14ac:dyDescent="0.3">
      <c r="A43" s="11" t="s">
        <v>224</v>
      </c>
      <c r="B43" s="11">
        <v>45500</v>
      </c>
      <c r="C43" s="8">
        <v>2024</v>
      </c>
      <c r="D43" s="8" t="str">
        <f t="shared" si="0"/>
        <v>July</v>
      </c>
      <c r="E43" s="8" t="str">
        <f t="shared" si="1"/>
        <v>Saturday</v>
      </c>
      <c r="F43" s="12">
        <v>0.38680555555555557</v>
      </c>
      <c r="G43" s="12" t="str">
        <f t="shared" si="2"/>
        <v>9:00 AM – 10:00 AM</v>
      </c>
      <c r="H43" s="8">
        <v>344</v>
      </c>
      <c r="I43" s="8">
        <v>567</v>
      </c>
      <c r="J43" s="8">
        <v>126</v>
      </c>
      <c r="K43" s="8">
        <v>1629</v>
      </c>
      <c r="L43" s="8">
        <v>5</v>
      </c>
      <c r="M43" s="8">
        <v>45</v>
      </c>
      <c r="N43" s="8">
        <v>55</v>
      </c>
      <c r="O43" s="8">
        <v>1874</v>
      </c>
      <c r="P43" s="8">
        <v>-1</v>
      </c>
    </row>
    <row r="44" spans="1:16" x14ac:dyDescent="0.3">
      <c r="A44" s="9" t="s">
        <v>72</v>
      </c>
      <c r="B44" s="9">
        <v>45652</v>
      </c>
      <c r="C44" s="7">
        <v>2024</v>
      </c>
      <c r="D44" s="7" t="str">
        <f t="shared" si="0"/>
        <v>December</v>
      </c>
      <c r="E44" s="7" t="str">
        <f t="shared" si="1"/>
        <v>Thursday</v>
      </c>
      <c r="F44" s="10">
        <v>0.54166666666666663</v>
      </c>
      <c r="G44" s="10" t="str">
        <f t="shared" si="2"/>
        <v>1:00 PM – 2:00 PM</v>
      </c>
      <c r="H44" s="7">
        <v>496</v>
      </c>
      <c r="I44" s="7">
        <v>804</v>
      </c>
      <c r="J44" s="7">
        <v>125</v>
      </c>
      <c r="K44" s="7">
        <v>2496</v>
      </c>
      <c r="L44" s="7">
        <v>1</v>
      </c>
      <c r="M44" s="7">
        <v>94</v>
      </c>
      <c r="N44" s="7">
        <v>12</v>
      </c>
      <c r="O44" s="7">
        <v>2515</v>
      </c>
      <c r="P44" s="7">
        <v>11</v>
      </c>
    </row>
    <row r="45" spans="1:16" x14ac:dyDescent="0.3">
      <c r="A45" s="11" t="s">
        <v>351</v>
      </c>
      <c r="B45" s="11">
        <v>45374</v>
      </c>
      <c r="C45" s="8">
        <v>2024</v>
      </c>
      <c r="D45" s="8" t="str">
        <f t="shared" si="0"/>
        <v>March</v>
      </c>
      <c r="E45" s="8" t="str">
        <f t="shared" si="1"/>
        <v>Saturday</v>
      </c>
      <c r="F45" s="12">
        <v>0.18888888888888888</v>
      </c>
      <c r="G45" s="12" t="str">
        <f t="shared" si="2"/>
        <v>4:00 AM – 5:00 AM</v>
      </c>
      <c r="H45" s="8">
        <v>217</v>
      </c>
      <c r="I45" s="8">
        <v>159</v>
      </c>
      <c r="J45" s="8">
        <v>125</v>
      </c>
      <c r="K45" s="8">
        <v>1709</v>
      </c>
      <c r="L45" s="8">
        <v>3</v>
      </c>
      <c r="M45" s="8">
        <v>46</v>
      </c>
      <c r="N45" s="8">
        <v>12</v>
      </c>
      <c r="O45" s="8">
        <v>1739</v>
      </c>
      <c r="P45" s="8">
        <v>4</v>
      </c>
    </row>
    <row r="46" spans="1:16" x14ac:dyDescent="0.3">
      <c r="A46" s="9" t="s">
        <v>267</v>
      </c>
      <c r="B46" s="9">
        <v>45457</v>
      </c>
      <c r="C46" s="7">
        <v>2024</v>
      </c>
      <c r="D46" s="7" t="str">
        <f t="shared" si="0"/>
        <v>June</v>
      </c>
      <c r="E46" s="7" t="str">
        <f t="shared" si="1"/>
        <v>Friday</v>
      </c>
      <c r="F46" s="10">
        <v>0.27361111111111114</v>
      </c>
      <c r="G46" s="10" t="str">
        <f t="shared" si="2"/>
        <v>6:00 AM – 7:00 AM</v>
      </c>
      <c r="H46" s="7">
        <v>301</v>
      </c>
      <c r="I46" s="7">
        <v>519</v>
      </c>
      <c r="J46" s="7">
        <v>124</v>
      </c>
      <c r="K46" s="7">
        <v>1175</v>
      </c>
      <c r="L46" s="7">
        <v>2</v>
      </c>
      <c r="M46" s="7">
        <v>11</v>
      </c>
      <c r="N46" s="7">
        <v>31</v>
      </c>
      <c r="O46" s="7">
        <v>1319</v>
      </c>
      <c r="P46" s="7">
        <v>0</v>
      </c>
    </row>
    <row r="47" spans="1:16" x14ac:dyDescent="0.3">
      <c r="A47" s="11" t="s">
        <v>479</v>
      </c>
      <c r="B47" s="11">
        <v>45247</v>
      </c>
      <c r="C47" s="8">
        <v>2023</v>
      </c>
      <c r="D47" s="8" t="str">
        <f t="shared" si="0"/>
        <v>November</v>
      </c>
      <c r="E47" s="8" t="str">
        <f t="shared" si="1"/>
        <v>Friday</v>
      </c>
      <c r="F47" s="12">
        <v>0.11874999999999999</v>
      </c>
      <c r="G47" s="12" t="str">
        <f t="shared" si="2"/>
        <v>2:00 AM – 3:00 AM</v>
      </c>
      <c r="H47" s="8">
        <v>87</v>
      </c>
      <c r="I47" s="8">
        <v>27</v>
      </c>
      <c r="J47" s="8">
        <v>123</v>
      </c>
      <c r="K47" s="8">
        <v>1100</v>
      </c>
      <c r="L47" s="8">
        <v>1</v>
      </c>
      <c r="M47" s="8">
        <v>6</v>
      </c>
      <c r="N47" s="8">
        <v>9</v>
      </c>
      <c r="O47" s="8">
        <v>1133</v>
      </c>
      <c r="P47" s="8">
        <v>0</v>
      </c>
    </row>
    <row r="48" spans="1:16" x14ac:dyDescent="0.3">
      <c r="A48" s="9" t="s">
        <v>204</v>
      </c>
      <c r="B48" s="9">
        <v>45520</v>
      </c>
      <c r="C48" s="7">
        <v>2024</v>
      </c>
      <c r="D48" s="7" t="str">
        <f t="shared" si="0"/>
        <v>August</v>
      </c>
      <c r="E48" s="7" t="str">
        <f t="shared" si="1"/>
        <v>Friday</v>
      </c>
      <c r="F48" s="10">
        <v>0.28680555555555554</v>
      </c>
      <c r="G48" s="10" t="str">
        <f t="shared" si="2"/>
        <v>6:00 AM – 7:00 AM</v>
      </c>
      <c r="H48" s="7">
        <v>364</v>
      </c>
      <c r="I48" s="7">
        <v>570</v>
      </c>
      <c r="J48" s="7">
        <v>122</v>
      </c>
      <c r="K48" s="7">
        <v>1203</v>
      </c>
      <c r="L48" s="7">
        <v>4</v>
      </c>
      <c r="M48" s="7">
        <v>38</v>
      </c>
      <c r="N48" s="7">
        <v>18</v>
      </c>
      <c r="O48" s="7">
        <v>1333</v>
      </c>
      <c r="P48" s="7">
        <v>1</v>
      </c>
    </row>
    <row r="49" spans="1:16" x14ac:dyDescent="0.3">
      <c r="A49" s="11" t="s">
        <v>38</v>
      </c>
      <c r="B49" s="11">
        <v>45686</v>
      </c>
      <c r="C49" s="8">
        <v>2025</v>
      </c>
      <c r="D49" s="8" t="str">
        <f t="shared" si="0"/>
        <v>January</v>
      </c>
      <c r="E49" s="8" t="str">
        <f t="shared" si="1"/>
        <v>Wednesday</v>
      </c>
      <c r="F49" s="12">
        <v>0.63263888888888886</v>
      </c>
      <c r="G49" s="12" t="str">
        <f t="shared" si="2"/>
        <v>3:00 PM – 4:00 PM</v>
      </c>
      <c r="H49" s="8">
        <v>530</v>
      </c>
      <c r="I49" s="8">
        <v>1292</v>
      </c>
      <c r="J49" s="8">
        <v>121</v>
      </c>
      <c r="K49" s="8">
        <v>1189</v>
      </c>
      <c r="L49" s="8">
        <v>1</v>
      </c>
      <c r="M49" s="8">
        <v>26</v>
      </c>
      <c r="N49" s="8">
        <v>12</v>
      </c>
      <c r="O49" s="8">
        <v>1211</v>
      </c>
      <c r="P49" s="8">
        <v>0</v>
      </c>
    </row>
    <row r="50" spans="1:16" x14ac:dyDescent="0.3">
      <c r="A50" s="9" t="s">
        <v>387</v>
      </c>
      <c r="B50" s="9">
        <v>45338</v>
      </c>
      <c r="C50" s="7">
        <v>2024</v>
      </c>
      <c r="D50" s="7" t="str">
        <f t="shared" si="0"/>
        <v>February</v>
      </c>
      <c r="E50" s="7" t="str">
        <f t="shared" si="1"/>
        <v>Friday</v>
      </c>
      <c r="F50" s="10">
        <v>0.13958333333333334</v>
      </c>
      <c r="G50" s="10" t="str">
        <f t="shared" si="2"/>
        <v>3:00 AM – 4:00 AM</v>
      </c>
      <c r="H50" s="7">
        <v>181</v>
      </c>
      <c r="I50" s="7">
        <v>125</v>
      </c>
      <c r="J50" s="7">
        <v>121</v>
      </c>
      <c r="K50" s="7">
        <v>1507</v>
      </c>
      <c r="L50" s="7">
        <v>3</v>
      </c>
      <c r="M50" s="7">
        <v>24</v>
      </c>
      <c r="N50" s="7">
        <v>38</v>
      </c>
      <c r="O50" s="7">
        <v>1593</v>
      </c>
      <c r="P50" s="7">
        <v>0</v>
      </c>
    </row>
    <row r="51" spans="1:16" x14ac:dyDescent="0.3">
      <c r="A51" s="11" t="s">
        <v>91</v>
      </c>
      <c r="B51" s="11">
        <v>45633</v>
      </c>
      <c r="C51" s="8">
        <v>2024</v>
      </c>
      <c r="D51" s="8" t="str">
        <f t="shared" si="0"/>
        <v>December</v>
      </c>
      <c r="E51" s="8" t="str">
        <f t="shared" si="1"/>
        <v>Saturday</v>
      </c>
      <c r="F51" s="12">
        <v>0.28958333333333336</v>
      </c>
      <c r="G51" s="12" t="str">
        <f t="shared" si="2"/>
        <v>6:00 AM – 7:00 AM</v>
      </c>
      <c r="H51" s="8">
        <v>477</v>
      </c>
      <c r="I51" s="8">
        <v>787</v>
      </c>
      <c r="J51" s="8">
        <v>120</v>
      </c>
      <c r="K51" s="8">
        <v>1597</v>
      </c>
      <c r="L51" s="8">
        <v>1</v>
      </c>
      <c r="M51" s="8">
        <v>53</v>
      </c>
      <c r="N51" s="8">
        <v>15</v>
      </c>
      <c r="O51" s="8">
        <v>1669</v>
      </c>
      <c r="P51" s="8">
        <v>1</v>
      </c>
    </row>
    <row r="52" spans="1:16" x14ac:dyDescent="0.3">
      <c r="A52" s="9" t="s">
        <v>331</v>
      </c>
      <c r="B52" s="9">
        <v>45393</v>
      </c>
      <c r="C52" s="7">
        <v>2024</v>
      </c>
      <c r="D52" s="7" t="str">
        <f t="shared" si="0"/>
        <v>April</v>
      </c>
      <c r="E52" s="7" t="str">
        <f t="shared" si="1"/>
        <v>Thursday</v>
      </c>
      <c r="F52" s="10">
        <v>0.25347222222222221</v>
      </c>
      <c r="G52" s="10" t="str">
        <f t="shared" si="2"/>
        <v>6:00 AM – 7:00 AM</v>
      </c>
      <c r="H52" s="7">
        <v>237</v>
      </c>
      <c r="I52" s="7">
        <v>380</v>
      </c>
      <c r="J52" s="7">
        <v>119</v>
      </c>
      <c r="K52" s="7">
        <v>2591</v>
      </c>
      <c r="L52" s="7">
        <v>7</v>
      </c>
      <c r="M52" s="7">
        <v>73</v>
      </c>
      <c r="N52" s="7">
        <v>90</v>
      </c>
      <c r="O52" s="7">
        <v>2784</v>
      </c>
      <c r="P52" s="7">
        <v>11</v>
      </c>
    </row>
    <row r="53" spans="1:16" x14ac:dyDescent="0.3">
      <c r="A53" s="11" t="s">
        <v>168</v>
      </c>
      <c r="B53" s="11">
        <v>45556</v>
      </c>
      <c r="C53" s="8">
        <v>2024</v>
      </c>
      <c r="D53" s="8" t="str">
        <f t="shared" si="0"/>
        <v>September</v>
      </c>
      <c r="E53" s="8" t="str">
        <f t="shared" si="1"/>
        <v>Saturday</v>
      </c>
      <c r="F53" s="12">
        <v>0.28263888888888888</v>
      </c>
      <c r="G53" s="12" t="str">
        <f t="shared" si="2"/>
        <v>6:00 AM – 7:00 AM</v>
      </c>
      <c r="H53" s="8">
        <v>400</v>
      </c>
      <c r="I53" s="8">
        <v>655</v>
      </c>
      <c r="J53" s="8">
        <v>116</v>
      </c>
      <c r="K53" s="8">
        <v>1698</v>
      </c>
      <c r="L53" s="8">
        <v>1</v>
      </c>
      <c r="M53" s="8">
        <v>75</v>
      </c>
      <c r="N53" s="8">
        <v>13</v>
      </c>
      <c r="O53" s="8">
        <v>1708</v>
      </c>
      <c r="P53" s="8">
        <v>-2</v>
      </c>
    </row>
    <row r="54" spans="1:16" x14ac:dyDescent="0.3">
      <c r="A54" s="9" t="s">
        <v>424</v>
      </c>
      <c r="B54" s="9">
        <v>45301</v>
      </c>
      <c r="C54" s="7">
        <v>2024</v>
      </c>
      <c r="D54" s="7" t="str">
        <f t="shared" si="0"/>
        <v>January</v>
      </c>
      <c r="E54" s="7" t="str">
        <f t="shared" si="1"/>
        <v>Wednesday</v>
      </c>
      <c r="F54" s="10">
        <v>0.20972222222222223</v>
      </c>
      <c r="G54" s="10" t="str">
        <f t="shared" si="2"/>
        <v>5:00 AM – 6:00 AM</v>
      </c>
      <c r="H54" s="7">
        <v>144</v>
      </c>
      <c r="I54" s="7">
        <v>80</v>
      </c>
      <c r="J54" s="7">
        <v>116</v>
      </c>
      <c r="K54" s="7">
        <v>1882</v>
      </c>
      <c r="L54" s="7">
        <v>6</v>
      </c>
      <c r="M54" s="7">
        <v>22</v>
      </c>
      <c r="N54" s="7">
        <v>7</v>
      </c>
      <c r="O54" s="7">
        <v>1871</v>
      </c>
      <c r="P54" s="7">
        <v>13</v>
      </c>
    </row>
    <row r="55" spans="1:16" x14ac:dyDescent="0.3">
      <c r="A55" s="11" t="s">
        <v>76</v>
      </c>
      <c r="B55" s="11">
        <v>45648</v>
      </c>
      <c r="C55" s="8">
        <v>2024</v>
      </c>
      <c r="D55" s="8" t="str">
        <f t="shared" si="0"/>
        <v>December</v>
      </c>
      <c r="E55" s="8" t="str">
        <f t="shared" si="1"/>
        <v>Sunday</v>
      </c>
      <c r="F55" s="12">
        <v>0.53680555555555554</v>
      </c>
      <c r="G55" s="12" t="str">
        <f t="shared" si="2"/>
        <v>12:00 PM – 1:00 PM</v>
      </c>
      <c r="H55" s="8">
        <v>492</v>
      </c>
      <c r="I55" s="8">
        <v>798</v>
      </c>
      <c r="J55" s="8">
        <v>115</v>
      </c>
      <c r="K55" s="8">
        <v>2190</v>
      </c>
      <c r="L55" s="8">
        <v>6</v>
      </c>
      <c r="M55" s="8">
        <v>83</v>
      </c>
      <c r="N55" s="8">
        <v>23</v>
      </c>
      <c r="O55" s="8">
        <v>2257</v>
      </c>
      <c r="P55" s="8">
        <v>1</v>
      </c>
    </row>
    <row r="56" spans="1:16" x14ac:dyDescent="0.3">
      <c r="A56" s="9" t="s">
        <v>344</v>
      </c>
      <c r="B56" s="9">
        <v>45380</v>
      </c>
      <c r="C56" s="7">
        <v>2024</v>
      </c>
      <c r="D56" s="7" t="str">
        <f t="shared" si="0"/>
        <v>March</v>
      </c>
      <c r="E56" s="7" t="str">
        <f t="shared" si="1"/>
        <v>Friday</v>
      </c>
      <c r="F56" s="10">
        <v>0.16805555555555557</v>
      </c>
      <c r="G56" s="10" t="str">
        <f t="shared" si="2"/>
        <v>4:00 AM – 5:00 AM</v>
      </c>
      <c r="H56" s="7">
        <v>224</v>
      </c>
      <c r="I56" s="7">
        <v>214</v>
      </c>
      <c r="J56" s="7">
        <v>115</v>
      </c>
      <c r="K56" s="7">
        <v>1758</v>
      </c>
      <c r="L56" s="7">
        <v>2</v>
      </c>
      <c r="M56" s="7">
        <v>22</v>
      </c>
      <c r="N56" s="7">
        <v>4</v>
      </c>
      <c r="O56" s="7">
        <v>1745</v>
      </c>
      <c r="P56" s="7">
        <v>22</v>
      </c>
    </row>
    <row r="57" spans="1:16" x14ac:dyDescent="0.3">
      <c r="A57" s="11" t="s">
        <v>250</v>
      </c>
      <c r="B57" s="11">
        <v>45474</v>
      </c>
      <c r="C57" s="8">
        <v>2024</v>
      </c>
      <c r="D57" s="8" t="str">
        <f t="shared" si="0"/>
        <v>July</v>
      </c>
      <c r="E57" s="8" t="str">
        <f t="shared" si="1"/>
        <v>Monday</v>
      </c>
      <c r="F57" s="12">
        <v>0.27361111111111114</v>
      </c>
      <c r="G57" s="12" t="str">
        <f t="shared" si="2"/>
        <v>6:00 AM – 7:00 AM</v>
      </c>
      <c r="H57" s="8">
        <v>318</v>
      </c>
      <c r="I57" s="8">
        <v>553</v>
      </c>
      <c r="J57" s="8">
        <v>113</v>
      </c>
      <c r="K57" s="8">
        <v>1842</v>
      </c>
      <c r="L57" s="8">
        <v>10</v>
      </c>
      <c r="M57" s="8">
        <v>5</v>
      </c>
      <c r="N57" s="8">
        <v>25</v>
      </c>
      <c r="O57" s="8">
        <v>1919</v>
      </c>
      <c r="P57" s="8">
        <v>7</v>
      </c>
    </row>
    <row r="58" spans="1:16" x14ac:dyDescent="0.3">
      <c r="A58" s="9" t="s">
        <v>118</v>
      </c>
      <c r="B58" s="9">
        <v>45606</v>
      </c>
      <c r="C58" s="7">
        <v>2024</v>
      </c>
      <c r="D58" s="7" t="str">
        <f t="shared" si="0"/>
        <v>November</v>
      </c>
      <c r="E58" s="7" t="str">
        <f t="shared" si="1"/>
        <v>Sunday</v>
      </c>
      <c r="F58" s="10">
        <v>0.47499999999999998</v>
      </c>
      <c r="G58" s="10" t="str">
        <f t="shared" si="2"/>
        <v>11:00 AM – 12:00 PM</v>
      </c>
      <c r="H58" s="7">
        <v>450</v>
      </c>
      <c r="I58" s="7">
        <v>771</v>
      </c>
      <c r="J58" s="7">
        <v>112</v>
      </c>
      <c r="K58" s="7">
        <v>1369</v>
      </c>
      <c r="L58" s="7">
        <v>2</v>
      </c>
      <c r="M58" s="7">
        <v>26</v>
      </c>
      <c r="N58" s="7">
        <v>10</v>
      </c>
      <c r="O58" s="7">
        <v>1364</v>
      </c>
      <c r="P58" s="7">
        <v>0</v>
      </c>
    </row>
    <row r="59" spans="1:16" x14ac:dyDescent="0.3">
      <c r="A59" s="11" t="s">
        <v>166</v>
      </c>
      <c r="B59" s="11">
        <v>45558</v>
      </c>
      <c r="C59" s="8">
        <v>2024</v>
      </c>
      <c r="D59" s="8" t="str">
        <f t="shared" si="0"/>
        <v>September</v>
      </c>
      <c r="E59" s="8" t="str">
        <f t="shared" si="1"/>
        <v>Monday</v>
      </c>
      <c r="F59" s="12">
        <v>0.4513888888888889</v>
      </c>
      <c r="G59" s="12" t="str">
        <f t="shared" si="2"/>
        <v>10:00 AM – 11:00 AM</v>
      </c>
      <c r="H59" s="8">
        <v>402</v>
      </c>
      <c r="I59" s="8">
        <v>661</v>
      </c>
      <c r="J59" s="8">
        <v>112</v>
      </c>
      <c r="K59" s="8">
        <v>1414</v>
      </c>
      <c r="L59" s="8">
        <v>2</v>
      </c>
      <c r="M59" s="8">
        <v>34</v>
      </c>
      <c r="N59" s="8">
        <v>10</v>
      </c>
      <c r="O59" s="8">
        <v>1411</v>
      </c>
      <c r="P59" s="8">
        <v>1</v>
      </c>
    </row>
    <row r="60" spans="1:16" x14ac:dyDescent="0.3">
      <c r="A60" s="9" t="s">
        <v>90</v>
      </c>
      <c r="B60" s="9">
        <v>45634</v>
      </c>
      <c r="C60" s="7">
        <v>2024</v>
      </c>
      <c r="D60" s="7" t="str">
        <f t="shared" si="0"/>
        <v>December</v>
      </c>
      <c r="E60" s="7" t="str">
        <f t="shared" si="1"/>
        <v>Sunday</v>
      </c>
      <c r="F60" s="10">
        <v>0.5229166666666667</v>
      </c>
      <c r="G60" s="10" t="str">
        <f t="shared" si="2"/>
        <v>12:00 PM – 1:00 PM</v>
      </c>
      <c r="H60" s="7">
        <v>478</v>
      </c>
      <c r="I60" s="7">
        <v>788</v>
      </c>
      <c r="J60" s="7">
        <v>111</v>
      </c>
      <c r="K60" s="7">
        <v>1392</v>
      </c>
      <c r="L60" s="7">
        <v>1</v>
      </c>
      <c r="M60" s="7">
        <v>5</v>
      </c>
      <c r="N60" s="7">
        <v>7</v>
      </c>
      <c r="O60" s="7">
        <v>1423</v>
      </c>
      <c r="P60" s="7">
        <v>1</v>
      </c>
    </row>
    <row r="61" spans="1:16" x14ac:dyDescent="0.3">
      <c r="A61" s="11" t="s">
        <v>175</v>
      </c>
      <c r="B61" s="11">
        <v>45549</v>
      </c>
      <c r="C61" s="8">
        <v>2024</v>
      </c>
      <c r="D61" s="8" t="str">
        <f t="shared" si="0"/>
        <v>September</v>
      </c>
      <c r="E61" s="8" t="str">
        <f t="shared" si="1"/>
        <v>Saturday</v>
      </c>
      <c r="F61" s="12">
        <v>0.41944444444444445</v>
      </c>
      <c r="G61" s="12" t="str">
        <f t="shared" si="2"/>
        <v>10:00 AM – 11:00 AM</v>
      </c>
      <c r="H61" s="8">
        <v>393</v>
      </c>
      <c r="I61" s="8">
        <v>642</v>
      </c>
      <c r="J61" s="8">
        <v>111</v>
      </c>
      <c r="K61" s="8">
        <v>1284</v>
      </c>
      <c r="L61" s="8">
        <v>3</v>
      </c>
      <c r="M61" s="8">
        <v>73</v>
      </c>
      <c r="N61" s="8">
        <v>21</v>
      </c>
      <c r="O61" s="8">
        <v>1355</v>
      </c>
      <c r="P61" s="8">
        <v>2</v>
      </c>
    </row>
    <row r="62" spans="1:16" x14ac:dyDescent="0.3">
      <c r="A62" s="9" t="s">
        <v>296</v>
      </c>
      <c r="B62" s="9">
        <v>45428</v>
      </c>
      <c r="C62" s="7">
        <v>2024</v>
      </c>
      <c r="D62" s="7" t="str">
        <f t="shared" si="0"/>
        <v>May</v>
      </c>
      <c r="E62" s="7" t="str">
        <f t="shared" si="1"/>
        <v>Thursday</v>
      </c>
      <c r="F62" s="10">
        <v>0.27500000000000002</v>
      </c>
      <c r="G62" s="10" t="str">
        <f t="shared" si="2"/>
        <v>6:00 AM – 7:00 AM</v>
      </c>
      <c r="H62" s="7">
        <v>272</v>
      </c>
      <c r="I62" s="7">
        <v>493</v>
      </c>
      <c r="J62" s="7">
        <v>111</v>
      </c>
      <c r="K62" s="7">
        <v>1108</v>
      </c>
      <c r="L62" s="7">
        <v>2</v>
      </c>
      <c r="M62" s="7">
        <v>31</v>
      </c>
      <c r="N62" s="7">
        <v>30</v>
      </c>
      <c r="O62" s="7">
        <v>1245</v>
      </c>
      <c r="P62" s="7">
        <v>0</v>
      </c>
    </row>
    <row r="63" spans="1:16" x14ac:dyDescent="0.3">
      <c r="A63" s="11" t="s">
        <v>301</v>
      </c>
      <c r="B63" s="11">
        <v>45423</v>
      </c>
      <c r="C63" s="8">
        <v>2024</v>
      </c>
      <c r="D63" s="8" t="str">
        <f t="shared" si="0"/>
        <v>May</v>
      </c>
      <c r="E63" s="8" t="str">
        <f t="shared" si="1"/>
        <v>Saturday</v>
      </c>
      <c r="F63" s="12">
        <v>0.23472222222222222</v>
      </c>
      <c r="G63" s="12" t="str">
        <f t="shared" si="2"/>
        <v>5:00 AM – 6:00 AM</v>
      </c>
      <c r="H63" s="8">
        <v>267</v>
      </c>
      <c r="I63" s="8">
        <v>487</v>
      </c>
      <c r="J63" s="8">
        <v>109</v>
      </c>
      <c r="K63" s="8">
        <v>1728</v>
      </c>
      <c r="L63" s="8">
        <v>3</v>
      </c>
      <c r="M63" s="8">
        <v>115</v>
      </c>
      <c r="N63" s="8">
        <v>13</v>
      </c>
      <c r="O63" s="8">
        <v>1789</v>
      </c>
      <c r="P63" s="8">
        <v>3</v>
      </c>
    </row>
    <row r="64" spans="1:16" x14ac:dyDescent="0.3">
      <c r="A64" s="9" t="s">
        <v>212</v>
      </c>
      <c r="B64" s="9">
        <v>45512</v>
      </c>
      <c r="C64" s="7">
        <v>2024</v>
      </c>
      <c r="D64" s="7" t="str">
        <f t="shared" si="0"/>
        <v>August</v>
      </c>
      <c r="E64" s="7" t="str">
        <f t="shared" si="1"/>
        <v>Thursday</v>
      </c>
      <c r="F64" s="10">
        <v>0.30694444444444446</v>
      </c>
      <c r="G64" s="10" t="str">
        <f t="shared" si="2"/>
        <v>7:00 AM – 8:00 AM</v>
      </c>
      <c r="H64" s="7">
        <v>356</v>
      </c>
      <c r="I64" s="7">
        <v>564</v>
      </c>
      <c r="J64" s="7">
        <v>106</v>
      </c>
      <c r="K64" s="7">
        <v>1112</v>
      </c>
      <c r="L64" s="7">
        <v>1</v>
      </c>
      <c r="M64" s="7">
        <v>68</v>
      </c>
      <c r="N64" s="7">
        <v>23</v>
      </c>
      <c r="O64" s="7">
        <v>1440</v>
      </c>
      <c r="P64" s="7">
        <v>-1</v>
      </c>
    </row>
    <row r="65" spans="1:16" x14ac:dyDescent="0.3">
      <c r="A65" s="11" t="s">
        <v>87</v>
      </c>
      <c r="B65" s="11">
        <v>45637</v>
      </c>
      <c r="C65" s="8">
        <v>2024</v>
      </c>
      <c r="D65" s="8" t="str">
        <f t="shared" si="0"/>
        <v>December</v>
      </c>
      <c r="E65" s="8" t="str">
        <f t="shared" si="1"/>
        <v>Wednesday</v>
      </c>
      <c r="F65" s="12">
        <v>0.54791666666666672</v>
      </c>
      <c r="G65" s="12" t="str">
        <f t="shared" si="2"/>
        <v>1:00 PM – 2:00 PM</v>
      </c>
      <c r="H65" s="8">
        <v>481</v>
      </c>
      <c r="I65" s="8">
        <v>787</v>
      </c>
      <c r="J65" s="8">
        <v>104</v>
      </c>
      <c r="K65" s="8">
        <v>1556</v>
      </c>
      <c r="L65" s="8">
        <v>2</v>
      </c>
      <c r="M65" s="8">
        <v>25</v>
      </c>
      <c r="N65" s="8">
        <v>4</v>
      </c>
      <c r="O65" s="8">
        <v>1556</v>
      </c>
      <c r="P65" s="8">
        <v>0</v>
      </c>
    </row>
    <row r="66" spans="1:16" x14ac:dyDescent="0.3">
      <c r="A66" s="9" t="s">
        <v>216</v>
      </c>
      <c r="B66" s="9">
        <v>45508</v>
      </c>
      <c r="C66" s="7">
        <v>2024</v>
      </c>
      <c r="D66" s="7" t="str">
        <f t="shared" ref="D66:D129" si="3">TEXT(B66,"MMMM")</f>
        <v>August</v>
      </c>
      <c r="E66" s="7" t="str">
        <f t="shared" ref="E66:E129" si="4">TEXT(B66,"dddd")</f>
        <v>Sunday</v>
      </c>
      <c r="F66" s="10">
        <v>0.28263888888888888</v>
      </c>
      <c r="G66" s="10" t="str">
        <f t="shared" ref="G66:G129" si="5">TEXT(FLOOR(F66,"1:00"),"h:mm AM/PM") &amp; " – " &amp; TEXT(FLOOR(F66,"1:00") + TIME(1,0,0),"h:mm AM/PM")</f>
        <v>6:00 AM – 7:00 AM</v>
      </c>
      <c r="H66" s="7">
        <v>352</v>
      </c>
      <c r="I66" s="7">
        <v>565</v>
      </c>
      <c r="J66" s="7">
        <v>104</v>
      </c>
      <c r="K66" s="7">
        <v>979</v>
      </c>
      <c r="L66" s="7">
        <v>6</v>
      </c>
      <c r="M66" s="7">
        <v>64</v>
      </c>
      <c r="N66" s="7">
        <v>7</v>
      </c>
      <c r="O66" s="7">
        <v>1165</v>
      </c>
      <c r="P66" s="7">
        <v>0</v>
      </c>
    </row>
    <row r="67" spans="1:16" x14ac:dyDescent="0.3">
      <c r="A67" s="11" t="s">
        <v>342</v>
      </c>
      <c r="B67" s="11">
        <v>45382</v>
      </c>
      <c r="C67" s="8">
        <v>2024</v>
      </c>
      <c r="D67" s="8" t="str">
        <f t="shared" si="3"/>
        <v>March</v>
      </c>
      <c r="E67" s="8" t="str">
        <f t="shared" si="4"/>
        <v>Sunday</v>
      </c>
      <c r="F67" s="12">
        <v>0.21736111111111112</v>
      </c>
      <c r="G67" s="12" t="str">
        <f t="shared" si="5"/>
        <v>5:00 AM – 6:00 AM</v>
      </c>
      <c r="H67" s="8">
        <v>226</v>
      </c>
      <c r="I67" s="8">
        <v>257</v>
      </c>
      <c r="J67" s="8">
        <v>103</v>
      </c>
      <c r="K67" s="8">
        <v>2559</v>
      </c>
      <c r="L67" s="8">
        <v>3</v>
      </c>
      <c r="M67" s="8">
        <v>173</v>
      </c>
      <c r="N67" s="8">
        <v>19</v>
      </c>
      <c r="O67" s="8">
        <v>2534</v>
      </c>
      <c r="P67" s="8">
        <v>15</v>
      </c>
    </row>
    <row r="68" spans="1:16" x14ac:dyDescent="0.3">
      <c r="A68" s="9" t="s">
        <v>164</v>
      </c>
      <c r="B68" s="9">
        <v>45560</v>
      </c>
      <c r="C68" s="7">
        <v>2024</v>
      </c>
      <c r="D68" s="7" t="str">
        <f t="shared" si="3"/>
        <v>September</v>
      </c>
      <c r="E68" s="7" t="str">
        <f t="shared" si="4"/>
        <v>Wednesday</v>
      </c>
      <c r="F68" s="10">
        <v>0.28125</v>
      </c>
      <c r="G68" s="10" t="str">
        <f t="shared" si="5"/>
        <v>6:00 AM – 7:00 AM</v>
      </c>
      <c r="H68" s="7">
        <v>404</v>
      </c>
      <c r="I68" s="7">
        <v>672</v>
      </c>
      <c r="J68" s="7">
        <v>102</v>
      </c>
      <c r="K68" s="7">
        <v>2090</v>
      </c>
      <c r="L68" s="7">
        <v>5</v>
      </c>
      <c r="M68" s="7">
        <v>71</v>
      </c>
      <c r="N68" s="7">
        <v>37</v>
      </c>
      <c r="O68" s="7">
        <v>2160</v>
      </c>
      <c r="P68" s="7">
        <v>2</v>
      </c>
    </row>
    <row r="69" spans="1:16" x14ac:dyDescent="0.3">
      <c r="A69" s="11" t="s">
        <v>169</v>
      </c>
      <c r="B69" s="11">
        <v>45555</v>
      </c>
      <c r="C69" s="8">
        <v>2024</v>
      </c>
      <c r="D69" s="8" t="str">
        <f t="shared" si="3"/>
        <v>September</v>
      </c>
      <c r="E69" s="8" t="str">
        <f t="shared" si="4"/>
        <v>Friday</v>
      </c>
      <c r="F69" s="12">
        <v>0.28402777777777777</v>
      </c>
      <c r="G69" s="12" t="str">
        <f t="shared" si="5"/>
        <v>6:00 AM – 7:00 AM</v>
      </c>
      <c r="H69" s="8">
        <v>399</v>
      </c>
      <c r="I69" s="8">
        <v>657</v>
      </c>
      <c r="J69" s="8">
        <v>100</v>
      </c>
      <c r="K69" s="8">
        <v>1347</v>
      </c>
      <c r="L69" s="8">
        <v>1</v>
      </c>
      <c r="M69" s="8">
        <v>24</v>
      </c>
      <c r="N69" s="8">
        <v>15</v>
      </c>
      <c r="O69" s="8">
        <v>1457</v>
      </c>
      <c r="P69" s="8">
        <v>2</v>
      </c>
    </row>
    <row r="70" spans="1:16" x14ac:dyDescent="0.3">
      <c r="A70" s="9" t="s">
        <v>354</v>
      </c>
      <c r="B70" s="9">
        <v>45371</v>
      </c>
      <c r="C70" s="7">
        <v>2024</v>
      </c>
      <c r="D70" s="7" t="str">
        <f t="shared" si="3"/>
        <v>March</v>
      </c>
      <c r="E70" s="7" t="str">
        <f t="shared" si="4"/>
        <v>Wednesday</v>
      </c>
      <c r="F70" s="10">
        <v>0.20277777777777778</v>
      </c>
      <c r="G70" s="10" t="str">
        <f t="shared" si="5"/>
        <v>4:00 AM – 5:00 AM</v>
      </c>
      <c r="H70" s="7">
        <v>214</v>
      </c>
      <c r="I70" s="7">
        <v>145</v>
      </c>
      <c r="J70" s="7">
        <v>100</v>
      </c>
      <c r="K70" s="7">
        <v>2685</v>
      </c>
      <c r="L70" s="7">
        <v>9</v>
      </c>
      <c r="M70" s="7">
        <v>39</v>
      </c>
      <c r="N70" s="7">
        <v>34</v>
      </c>
      <c r="O70" s="7">
        <v>2723</v>
      </c>
      <c r="P70" s="7">
        <v>2</v>
      </c>
    </row>
    <row r="71" spans="1:16" x14ac:dyDescent="0.3">
      <c r="A71" s="11" t="s">
        <v>423</v>
      </c>
      <c r="B71" s="11">
        <v>45302</v>
      </c>
      <c r="C71" s="8">
        <v>2024</v>
      </c>
      <c r="D71" s="8" t="str">
        <f t="shared" si="3"/>
        <v>January</v>
      </c>
      <c r="E71" s="8" t="str">
        <f t="shared" si="4"/>
        <v>Thursday</v>
      </c>
      <c r="F71" s="12">
        <v>0.21249999999999999</v>
      </c>
      <c r="G71" s="12" t="str">
        <f t="shared" si="5"/>
        <v>5:00 AM – 6:00 AM</v>
      </c>
      <c r="H71" s="8">
        <v>145</v>
      </c>
      <c r="I71" s="8">
        <v>90</v>
      </c>
      <c r="J71" s="8">
        <v>98</v>
      </c>
      <c r="K71" s="8">
        <v>953</v>
      </c>
      <c r="L71" s="8">
        <v>1</v>
      </c>
      <c r="M71" s="8">
        <v>5</v>
      </c>
      <c r="N71" s="8">
        <v>1</v>
      </c>
      <c r="O71" s="8">
        <v>949</v>
      </c>
      <c r="P71" s="8">
        <v>10</v>
      </c>
    </row>
    <row r="72" spans="1:16" x14ac:dyDescent="0.3">
      <c r="A72" s="9" t="s">
        <v>92</v>
      </c>
      <c r="B72" s="9">
        <v>45632</v>
      </c>
      <c r="C72" s="7">
        <v>2024</v>
      </c>
      <c r="D72" s="7" t="str">
        <f t="shared" si="3"/>
        <v>December</v>
      </c>
      <c r="E72" s="7" t="str">
        <f t="shared" si="4"/>
        <v>Friday</v>
      </c>
      <c r="F72" s="10">
        <v>0.31041666666666667</v>
      </c>
      <c r="G72" s="10" t="str">
        <f t="shared" si="5"/>
        <v>7:00 AM – 8:00 AM</v>
      </c>
      <c r="H72" s="7">
        <v>476</v>
      </c>
      <c r="I72" s="7">
        <v>786</v>
      </c>
      <c r="J72" s="7">
        <v>93</v>
      </c>
      <c r="K72" s="7">
        <v>1446</v>
      </c>
      <c r="L72" s="7">
        <v>4</v>
      </c>
      <c r="M72" s="7">
        <v>8</v>
      </c>
      <c r="N72" s="7">
        <v>6</v>
      </c>
      <c r="O72" s="7">
        <v>1463</v>
      </c>
      <c r="P72" s="7">
        <v>0</v>
      </c>
    </row>
    <row r="73" spans="1:16" x14ac:dyDescent="0.3">
      <c r="A73" s="11" t="s">
        <v>287</v>
      </c>
      <c r="B73" s="11">
        <v>45437</v>
      </c>
      <c r="C73" s="8">
        <v>2024</v>
      </c>
      <c r="D73" s="8" t="str">
        <f t="shared" si="3"/>
        <v>May</v>
      </c>
      <c r="E73" s="8" t="str">
        <f t="shared" si="4"/>
        <v>Saturday</v>
      </c>
      <c r="F73" s="12">
        <v>0.26319444444444445</v>
      </c>
      <c r="G73" s="12" t="str">
        <f t="shared" si="5"/>
        <v>6:00 AM – 7:00 AM</v>
      </c>
      <c r="H73" s="8">
        <v>281</v>
      </c>
      <c r="I73" s="8">
        <v>507</v>
      </c>
      <c r="J73" s="8">
        <v>93</v>
      </c>
      <c r="K73" s="8">
        <v>1282</v>
      </c>
      <c r="L73" s="8">
        <v>2</v>
      </c>
      <c r="M73" s="8">
        <v>75</v>
      </c>
      <c r="N73" s="8">
        <v>8</v>
      </c>
      <c r="O73" s="8">
        <v>1409</v>
      </c>
      <c r="P73" s="8">
        <v>3</v>
      </c>
    </row>
    <row r="74" spans="1:16" x14ac:dyDescent="0.3">
      <c r="A74" s="9" t="s">
        <v>153</v>
      </c>
      <c r="B74" s="9">
        <v>45571</v>
      </c>
      <c r="C74" s="7">
        <v>2024</v>
      </c>
      <c r="D74" s="7" t="str">
        <f t="shared" si="3"/>
        <v>October</v>
      </c>
      <c r="E74" s="7" t="str">
        <f t="shared" si="4"/>
        <v>Sunday</v>
      </c>
      <c r="F74" s="10">
        <v>0.47013888888888888</v>
      </c>
      <c r="G74" s="10" t="str">
        <f t="shared" si="5"/>
        <v>11:00 AM – 12:00 PM</v>
      </c>
      <c r="H74" s="7">
        <v>415</v>
      </c>
      <c r="I74" s="7">
        <v>709</v>
      </c>
      <c r="J74" s="7">
        <v>92</v>
      </c>
      <c r="K74" s="7">
        <v>1514</v>
      </c>
      <c r="L74" s="7">
        <v>7</v>
      </c>
      <c r="M74" s="7">
        <v>32</v>
      </c>
      <c r="N74" s="7">
        <v>36</v>
      </c>
      <c r="O74" s="7">
        <v>1560</v>
      </c>
      <c r="P74" s="7">
        <v>6</v>
      </c>
    </row>
    <row r="75" spans="1:16" x14ac:dyDescent="0.3">
      <c r="A75" s="11" t="s">
        <v>71</v>
      </c>
      <c r="B75" s="11">
        <v>45653</v>
      </c>
      <c r="C75" s="8">
        <v>2024</v>
      </c>
      <c r="D75" s="8" t="str">
        <f t="shared" si="3"/>
        <v>December</v>
      </c>
      <c r="E75" s="8" t="str">
        <f t="shared" si="4"/>
        <v>Friday</v>
      </c>
      <c r="F75" s="12">
        <v>0.55277777777777781</v>
      </c>
      <c r="G75" s="12" t="str">
        <f t="shared" si="5"/>
        <v>1:00 PM – 2:00 PM</v>
      </c>
      <c r="H75" s="8">
        <v>497</v>
      </c>
      <c r="I75" s="8">
        <v>814</v>
      </c>
      <c r="J75" s="8">
        <v>91</v>
      </c>
      <c r="K75" s="8">
        <v>2573</v>
      </c>
      <c r="L75" s="8">
        <v>2</v>
      </c>
      <c r="M75" s="8">
        <v>22</v>
      </c>
      <c r="N75" s="8">
        <v>24</v>
      </c>
      <c r="O75" s="8">
        <v>2658</v>
      </c>
      <c r="P75" s="8">
        <v>10</v>
      </c>
    </row>
    <row r="76" spans="1:16" x14ac:dyDescent="0.3">
      <c r="A76" s="9" t="s">
        <v>383</v>
      </c>
      <c r="B76" s="9">
        <v>45342</v>
      </c>
      <c r="C76" s="7">
        <v>2024</v>
      </c>
      <c r="D76" s="7" t="str">
        <f t="shared" si="3"/>
        <v>February</v>
      </c>
      <c r="E76" s="7" t="str">
        <f t="shared" si="4"/>
        <v>Tuesday</v>
      </c>
      <c r="F76" s="10">
        <v>0.18055555555555555</v>
      </c>
      <c r="G76" s="10" t="str">
        <f t="shared" si="5"/>
        <v>4:00 AM – 5:00 AM</v>
      </c>
      <c r="H76" s="7">
        <v>185</v>
      </c>
      <c r="I76" s="7">
        <v>125</v>
      </c>
      <c r="J76" s="7">
        <v>90</v>
      </c>
      <c r="K76" s="7">
        <v>931</v>
      </c>
      <c r="L76" s="7">
        <v>2</v>
      </c>
      <c r="M76" s="7">
        <v>1</v>
      </c>
      <c r="N76" s="7">
        <v>3</v>
      </c>
      <c r="O76" s="7">
        <v>963</v>
      </c>
      <c r="P76" s="7">
        <v>0</v>
      </c>
    </row>
    <row r="77" spans="1:16" x14ac:dyDescent="0.3">
      <c r="A77" s="11" t="s">
        <v>34</v>
      </c>
      <c r="B77" s="11">
        <v>45690</v>
      </c>
      <c r="C77" s="8">
        <v>2025</v>
      </c>
      <c r="D77" s="8" t="str">
        <f t="shared" si="3"/>
        <v>February</v>
      </c>
      <c r="E77" s="8" t="str">
        <f t="shared" si="4"/>
        <v>Sunday</v>
      </c>
      <c r="F77" s="12">
        <v>0.64861111111111114</v>
      </c>
      <c r="G77" s="12" t="str">
        <f t="shared" si="5"/>
        <v>3:00 PM – 4:00 PM</v>
      </c>
      <c r="H77" s="8">
        <v>534</v>
      </c>
      <c r="I77" s="8">
        <v>1295</v>
      </c>
      <c r="J77" s="8">
        <v>87</v>
      </c>
      <c r="K77" s="8">
        <v>1309</v>
      </c>
      <c r="L77" s="8">
        <v>2</v>
      </c>
      <c r="M77" s="8">
        <v>12</v>
      </c>
      <c r="N77" s="8">
        <v>7</v>
      </c>
      <c r="O77" s="8">
        <v>1324</v>
      </c>
      <c r="P77" s="8">
        <v>1</v>
      </c>
    </row>
    <row r="78" spans="1:16" x14ac:dyDescent="0.3">
      <c r="A78" s="9" t="s">
        <v>54</v>
      </c>
      <c r="B78" s="9">
        <v>45670</v>
      </c>
      <c r="C78" s="7">
        <v>2025</v>
      </c>
      <c r="D78" s="7" t="str">
        <f t="shared" si="3"/>
        <v>January</v>
      </c>
      <c r="E78" s="7" t="str">
        <f t="shared" si="4"/>
        <v>Monday</v>
      </c>
      <c r="F78" s="10">
        <v>0.6166666666666667</v>
      </c>
      <c r="G78" s="10" t="str">
        <f t="shared" si="5"/>
        <v>2:00 PM – 3:00 PM</v>
      </c>
      <c r="H78" s="7">
        <v>514</v>
      </c>
      <c r="I78" s="7">
        <v>1275</v>
      </c>
      <c r="J78" s="7">
        <v>86</v>
      </c>
      <c r="K78" s="7">
        <v>1284</v>
      </c>
      <c r="L78" s="7">
        <v>6</v>
      </c>
      <c r="M78" s="7">
        <v>13</v>
      </c>
      <c r="N78" s="7">
        <v>13</v>
      </c>
      <c r="O78" s="7">
        <v>1292</v>
      </c>
      <c r="P78" s="7">
        <v>-2</v>
      </c>
    </row>
    <row r="79" spans="1:16" x14ac:dyDescent="0.3">
      <c r="A79" s="11" t="s">
        <v>481</v>
      </c>
      <c r="B79" s="11">
        <v>45245</v>
      </c>
      <c r="C79" s="8">
        <v>2023</v>
      </c>
      <c r="D79" s="8" t="str">
        <f t="shared" si="3"/>
        <v>November</v>
      </c>
      <c r="E79" s="8" t="str">
        <f t="shared" si="4"/>
        <v>Wednesday</v>
      </c>
      <c r="F79" s="12">
        <v>0.11666666666666667</v>
      </c>
      <c r="G79" s="12" t="str">
        <f t="shared" si="5"/>
        <v>2:00 AM – 3:00 AM</v>
      </c>
      <c r="H79" s="8">
        <v>85</v>
      </c>
      <c r="I79" s="8">
        <v>25</v>
      </c>
      <c r="J79" s="8">
        <v>83</v>
      </c>
      <c r="K79" s="8">
        <v>963</v>
      </c>
      <c r="L79" s="8">
        <v>1</v>
      </c>
      <c r="M79" s="8">
        <v>18</v>
      </c>
      <c r="N79" s="8">
        <v>4</v>
      </c>
      <c r="O79" s="8">
        <v>965</v>
      </c>
      <c r="P79" s="8">
        <v>0</v>
      </c>
    </row>
    <row r="80" spans="1:16" x14ac:dyDescent="0.3">
      <c r="A80" s="9" t="s">
        <v>172</v>
      </c>
      <c r="B80" s="9">
        <v>45552</v>
      </c>
      <c r="C80" s="7">
        <v>2024</v>
      </c>
      <c r="D80" s="7" t="str">
        <f t="shared" si="3"/>
        <v>September</v>
      </c>
      <c r="E80" s="7" t="str">
        <f t="shared" si="4"/>
        <v>Tuesday</v>
      </c>
      <c r="F80" s="10">
        <v>0.30277777777777776</v>
      </c>
      <c r="G80" s="10" t="str">
        <f t="shared" si="5"/>
        <v>7:00 AM – 8:00 AM</v>
      </c>
      <c r="H80" s="7">
        <v>396</v>
      </c>
      <c r="I80" s="7">
        <v>648</v>
      </c>
      <c r="J80" s="7">
        <v>80</v>
      </c>
      <c r="K80" s="7">
        <v>1264</v>
      </c>
      <c r="L80" s="7">
        <v>4</v>
      </c>
      <c r="M80" s="7">
        <v>22</v>
      </c>
      <c r="N80" s="7">
        <v>10</v>
      </c>
      <c r="O80" s="7">
        <v>1280</v>
      </c>
      <c r="P80" s="7">
        <v>3</v>
      </c>
    </row>
    <row r="81" spans="1:16" x14ac:dyDescent="0.3">
      <c r="A81" s="11" t="s">
        <v>280</v>
      </c>
      <c r="B81" s="11">
        <v>45444</v>
      </c>
      <c r="C81" s="8">
        <v>2024</v>
      </c>
      <c r="D81" s="8" t="str">
        <f t="shared" si="3"/>
        <v>June</v>
      </c>
      <c r="E81" s="8" t="str">
        <f t="shared" si="4"/>
        <v>Saturday</v>
      </c>
      <c r="F81" s="12">
        <v>0.27500000000000002</v>
      </c>
      <c r="G81" s="12" t="str">
        <f t="shared" si="5"/>
        <v>6:00 AM – 7:00 AM</v>
      </c>
      <c r="H81" s="8">
        <v>288</v>
      </c>
      <c r="I81" s="8">
        <v>512</v>
      </c>
      <c r="J81" s="8">
        <v>80</v>
      </c>
      <c r="K81" s="8">
        <v>1033</v>
      </c>
      <c r="L81" s="8">
        <v>1</v>
      </c>
      <c r="M81" s="8">
        <v>13</v>
      </c>
      <c r="N81" s="8">
        <v>9</v>
      </c>
      <c r="O81" s="8">
        <v>1135</v>
      </c>
      <c r="P81" s="8">
        <v>1</v>
      </c>
    </row>
    <row r="82" spans="1:16" x14ac:dyDescent="0.3">
      <c r="A82" s="9" t="s">
        <v>199</v>
      </c>
      <c r="B82" s="9">
        <v>45525</v>
      </c>
      <c r="C82" s="7">
        <v>2024</v>
      </c>
      <c r="D82" s="7" t="str">
        <f t="shared" si="3"/>
        <v>August</v>
      </c>
      <c r="E82" s="7" t="str">
        <f t="shared" si="4"/>
        <v>Wednesday</v>
      </c>
      <c r="F82" s="10">
        <v>0.29791666666666666</v>
      </c>
      <c r="G82" s="10" t="str">
        <f t="shared" si="5"/>
        <v>7:00 AM – 8:00 AM</v>
      </c>
      <c r="H82" s="7">
        <v>369</v>
      </c>
      <c r="I82" s="7">
        <v>572</v>
      </c>
      <c r="J82" s="7">
        <v>78</v>
      </c>
      <c r="K82" s="7">
        <v>1063</v>
      </c>
      <c r="L82" s="7">
        <v>2</v>
      </c>
      <c r="M82" s="7">
        <v>10</v>
      </c>
      <c r="N82" s="7">
        <v>18</v>
      </c>
      <c r="O82" s="7">
        <v>1086</v>
      </c>
      <c r="P82" s="7">
        <v>1</v>
      </c>
    </row>
    <row r="83" spans="1:16" x14ac:dyDescent="0.3">
      <c r="A83" s="11" t="s">
        <v>326</v>
      </c>
      <c r="B83" s="11">
        <v>45398</v>
      </c>
      <c r="C83" s="8">
        <v>2024</v>
      </c>
      <c r="D83" s="8" t="str">
        <f t="shared" si="3"/>
        <v>April</v>
      </c>
      <c r="E83" s="8" t="str">
        <f t="shared" si="4"/>
        <v>Tuesday</v>
      </c>
      <c r="F83" s="12">
        <v>0.2013888888888889</v>
      </c>
      <c r="G83" s="12" t="str">
        <f t="shared" si="5"/>
        <v>4:00 AM – 5:00 AM</v>
      </c>
      <c r="H83" s="8">
        <v>242</v>
      </c>
      <c r="I83" s="8">
        <v>430</v>
      </c>
      <c r="J83" s="8">
        <v>78</v>
      </c>
      <c r="K83" s="8">
        <v>1232</v>
      </c>
      <c r="L83" s="8">
        <v>1</v>
      </c>
      <c r="M83" s="8">
        <v>7</v>
      </c>
      <c r="N83" s="8">
        <v>20</v>
      </c>
      <c r="O83" s="8">
        <v>1241</v>
      </c>
      <c r="P83" s="8">
        <v>8</v>
      </c>
    </row>
    <row r="84" spans="1:16" x14ac:dyDescent="0.3">
      <c r="A84" s="9" t="s">
        <v>404</v>
      </c>
      <c r="B84" s="9">
        <v>45321</v>
      </c>
      <c r="C84" s="7">
        <v>2024</v>
      </c>
      <c r="D84" s="7" t="str">
        <f t="shared" si="3"/>
        <v>January</v>
      </c>
      <c r="E84" s="7" t="str">
        <f t="shared" si="4"/>
        <v>Tuesday</v>
      </c>
      <c r="F84" s="10">
        <v>0.22708333333333333</v>
      </c>
      <c r="G84" s="10" t="str">
        <f t="shared" si="5"/>
        <v>5:00 AM – 6:00 AM</v>
      </c>
      <c r="H84" s="7">
        <v>164</v>
      </c>
      <c r="I84" s="7">
        <v>121</v>
      </c>
      <c r="J84" s="7">
        <v>78</v>
      </c>
      <c r="K84" s="7">
        <v>977</v>
      </c>
      <c r="L84" s="7">
        <v>6</v>
      </c>
      <c r="M84" s="7">
        <v>10</v>
      </c>
      <c r="N84" s="7">
        <v>12</v>
      </c>
      <c r="O84" s="7">
        <v>1024</v>
      </c>
      <c r="P84" s="7">
        <v>0</v>
      </c>
    </row>
    <row r="85" spans="1:16" x14ac:dyDescent="0.3">
      <c r="A85" s="11" t="s">
        <v>464</v>
      </c>
      <c r="B85" s="11">
        <v>45262</v>
      </c>
      <c r="C85" s="8">
        <v>2023</v>
      </c>
      <c r="D85" s="8" t="str">
        <f t="shared" si="3"/>
        <v>December</v>
      </c>
      <c r="E85" s="8" t="str">
        <f t="shared" si="4"/>
        <v>Saturday</v>
      </c>
      <c r="F85" s="12">
        <v>0.40694444444444444</v>
      </c>
      <c r="G85" s="12" t="str">
        <f t="shared" si="5"/>
        <v>9:00 AM – 10:00 AM</v>
      </c>
      <c r="H85" s="8">
        <v>102</v>
      </c>
      <c r="I85" s="8">
        <v>29</v>
      </c>
      <c r="J85" s="8">
        <v>78</v>
      </c>
      <c r="K85" s="8">
        <v>709</v>
      </c>
      <c r="L85" s="8">
        <v>4</v>
      </c>
      <c r="M85" s="8">
        <v>19</v>
      </c>
      <c r="N85" s="8">
        <v>9</v>
      </c>
      <c r="O85" s="8">
        <v>726</v>
      </c>
      <c r="P85" s="8">
        <v>0</v>
      </c>
    </row>
    <row r="86" spans="1:16" x14ac:dyDescent="0.3">
      <c r="A86" s="9" t="s">
        <v>13</v>
      </c>
      <c r="B86" s="9">
        <v>45712</v>
      </c>
      <c r="C86" s="7">
        <v>2025</v>
      </c>
      <c r="D86" s="7" t="str">
        <f t="shared" si="3"/>
        <v>February</v>
      </c>
      <c r="E86" s="7" t="str">
        <f t="shared" si="4"/>
        <v>Monday</v>
      </c>
      <c r="F86" s="10">
        <v>0.6743055555555556</v>
      </c>
      <c r="G86" s="10" t="str">
        <f t="shared" si="5"/>
        <v>4:00 PM – 5:00 PM</v>
      </c>
      <c r="H86" s="7">
        <v>555</v>
      </c>
      <c r="I86" s="7">
        <v>1287</v>
      </c>
      <c r="J86" s="7">
        <v>77</v>
      </c>
      <c r="K86" s="7">
        <v>1273</v>
      </c>
      <c r="L86" s="7">
        <v>1</v>
      </c>
      <c r="M86" s="7">
        <v>47</v>
      </c>
      <c r="N86" s="7">
        <v>5</v>
      </c>
      <c r="O86" s="7">
        <v>1272</v>
      </c>
      <c r="P86" s="7">
        <v>-2</v>
      </c>
    </row>
    <row r="87" spans="1:16" x14ac:dyDescent="0.3">
      <c r="A87" s="11" t="s">
        <v>97</v>
      </c>
      <c r="B87" s="11">
        <v>45627</v>
      </c>
      <c r="C87" s="8">
        <v>2024</v>
      </c>
      <c r="D87" s="8" t="str">
        <f t="shared" si="3"/>
        <v>December</v>
      </c>
      <c r="E87" s="8" t="str">
        <f t="shared" si="4"/>
        <v>Sunday</v>
      </c>
      <c r="F87" s="12">
        <v>0.54791666666666672</v>
      </c>
      <c r="G87" s="12" t="str">
        <f t="shared" si="5"/>
        <v>1:00 PM – 2:00 PM</v>
      </c>
      <c r="H87" s="8">
        <v>471</v>
      </c>
      <c r="I87" s="8">
        <v>780</v>
      </c>
      <c r="J87" s="8">
        <v>77</v>
      </c>
      <c r="K87" s="8">
        <v>1079</v>
      </c>
      <c r="L87" s="8">
        <v>2</v>
      </c>
      <c r="M87" s="8">
        <v>31</v>
      </c>
      <c r="N87" s="8">
        <v>8</v>
      </c>
      <c r="O87" s="8">
        <v>1098</v>
      </c>
      <c r="P87" s="8">
        <v>0</v>
      </c>
    </row>
    <row r="88" spans="1:16" x14ac:dyDescent="0.3">
      <c r="A88" s="9" t="s">
        <v>348</v>
      </c>
      <c r="B88" s="9">
        <v>45377</v>
      </c>
      <c r="C88" s="7">
        <v>2024</v>
      </c>
      <c r="D88" s="7" t="str">
        <f t="shared" si="3"/>
        <v>March</v>
      </c>
      <c r="E88" s="7" t="str">
        <f t="shared" si="4"/>
        <v>Tuesday</v>
      </c>
      <c r="F88" s="10">
        <v>0.19791666666666666</v>
      </c>
      <c r="G88" s="10" t="str">
        <f t="shared" si="5"/>
        <v>4:00 AM – 5:00 AM</v>
      </c>
      <c r="H88" s="7">
        <v>220</v>
      </c>
      <c r="I88" s="7">
        <v>181</v>
      </c>
      <c r="J88" s="7">
        <v>77</v>
      </c>
      <c r="K88" s="7">
        <v>2505</v>
      </c>
      <c r="L88" s="7">
        <v>2</v>
      </c>
      <c r="M88" s="7">
        <v>1</v>
      </c>
      <c r="N88" s="7">
        <v>6</v>
      </c>
      <c r="O88" s="7">
        <v>2462</v>
      </c>
      <c r="P88" s="7">
        <v>8</v>
      </c>
    </row>
    <row r="89" spans="1:16" x14ac:dyDescent="0.3">
      <c r="A89" s="11" t="s">
        <v>106</v>
      </c>
      <c r="B89" s="11">
        <v>45618</v>
      </c>
      <c r="C89" s="8">
        <v>2024</v>
      </c>
      <c r="D89" s="8" t="str">
        <f t="shared" si="3"/>
        <v>November</v>
      </c>
      <c r="E89" s="8" t="str">
        <f t="shared" si="4"/>
        <v>Friday</v>
      </c>
      <c r="F89" s="12">
        <v>0.58125000000000004</v>
      </c>
      <c r="G89" s="12" t="str">
        <f t="shared" si="5"/>
        <v>1:00 PM – 2:00 PM</v>
      </c>
      <c r="H89" s="8">
        <v>462</v>
      </c>
      <c r="I89" s="8">
        <v>775</v>
      </c>
      <c r="J89" s="8">
        <v>73</v>
      </c>
      <c r="K89" s="8">
        <v>1187</v>
      </c>
      <c r="L89" s="8">
        <v>1</v>
      </c>
      <c r="M89" s="8">
        <v>19</v>
      </c>
      <c r="N89" s="8">
        <v>5</v>
      </c>
      <c r="O89" s="8">
        <v>1218</v>
      </c>
      <c r="P89" s="8">
        <v>1</v>
      </c>
    </row>
    <row r="90" spans="1:16" x14ac:dyDescent="0.3">
      <c r="A90" s="9" t="s">
        <v>355</v>
      </c>
      <c r="B90" s="9">
        <v>45370</v>
      </c>
      <c r="C90" s="7">
        <v>2024</v>
      </c>
      <c r="D90" s="7" t="str">
        <f t="shared" si="3"/>
        <v>March</v>
      </c>
      <c r="E90" s="7" t="str">
        <f t="shared" si="4"/>
        <v>Tuesday</v>
      </c>
      <c r="F90" s="10">
        <v>0.18194444444444444</v>
      </c>
      <c r="G90" s="10" t="str">
        <f t="shared" si="5"/>
        <v>4:00 AM – 5:00 AM</v>
      </c>
      <c r="H90" s="7">
        <v>213</v>
      </c>
      <c r="I90" s="7">
        <v>143</v>
      </c>
      <c r="J90" s="7">
        <v>72</v>
      </c>
      <c r="K90" s="7">
        <v>1295</v>
      </c>
      <c r="L90" s="7">
        <v>1</v>
      </c>
      <c r="M90" s="7">
        <v>3</v>
      </c>
      <c r="N90" s="7">
        <v>3</v>
      </c>
      <c r="O90" s="7">
        <v>1296</v>
      </c>
      <c r="P90" s="7">
        <v>2</v>
      </c>
    </row>
    <row r="91" spans="1:16" x14ac:dyDescent="0.3">
      <c r="A91" s="11" t="s">
        <v>89</v>
      </c>
      <c r="B91" s="11">
        <v>45635</v>
      </c>
      <c r="C91" s="8">
        <v>2024</v>
      </c>
      <c r="D91" s="8" t="str">
        <f t="shared" si="3"/>
        <v>December</v>
      </c>
      <c r="E91" s="8" t="str">
        <f t="shared" si="4"/>
        <v>Monday</v>
      </c>
      <c r="F91" s="12">
        <v>0.5444444444444444</v>
      </c>
      <c r="G91" s="12" t="str">
        <f t="shared" si="5"/>
        <v>1:00 PM – 2:00 PM</v>
      </c>
      <c r="H91" s="8">
        <v>479</v>
      </c>
      <c r="I91" s="8">
        <v>787</v>
      </c>
      <c r="J91" s="8">
        <v>71</v>
      </c>
      <c r="K91" s="8">
        <v>1039</v>
      </c>
      <c r="L91" s="8">
        <v>1</v>
      </c>
      <c r="M91" s="8">
        <v>21</v>
      </c>
      <c r="N91" s="8">
        <v>9</v>
      </c>
      <c r="O91" s="8">
        <v>1057</v>
      </c>
      <c r="P91" s="8">
        <v>-1</v>
      </c>
    </row>
    <row r="92" spans="1:16" x14ac:dyDescent="0.3">
      <c r="A92" s="9" t="s">
        <v>393</v>
      </c>
      <c r="B92" s="9">
        <v>45332</v>
      </c>
      <c r="C92" s="7">
        <v>2024</v>
      </c>
      <c r="D92" s="7" t="str">
        <f t="shared" si="3"/>
        <v>February</v>
      </c>
      <c r="E92" s="7" t="str">
        <f t="shared" si="4"/>
        <v>Saturday</v>
      </c>
      <c r="F92" s="10">
        <v>0.15625</v>
      </c>
      <c r="G92" s="10" t="str">
        <f t="shared" si="5"/>
        <v>3:00 AM – 4:00 AM</v>
      </c>
      <c r="H92" s="7">
        <v>175</v>
      </c>
      <c r="I92" s="7">
        <v>124</v>
      </c>
      <c r="J92" s="7">
        <v>71</v>
      </c>
      <c r="K92" s="7">
        <v>803</v>
      </c>
      <c r="L92" s="7">
        <v>2</v>
      </c>
      <c r="M92" s="7">
        <v>16</v>
      </c>
      <c r="N92" s="7">
        <v>6</v>
      </c>
      <c r="O92" s="7">
        <v>816</v>
      </c>
      <c r="P92" s="7">
        <v>0</v>
      </c>
    </row>
    <row r="93" spans="1:16" x14ac:dyDescent="0.3">
      <c r="A93" s="11" t="s">
        <v>420</v>
      </c>
      <c r="B93" s="11">
        <v>45305</v>
      </c>
      <c r="C93" s="8">
        <v>2024</v>
      </c>
      <c r="D93" s="8" t="str">
        <f t="shared" si="3"/>
        <v>January</v>
      </c>
      <c r="E93" s="8" t="str">
        <f t="shared" si="4"/>
        <v>Sunday</v>
      </c>
      <c r="F93" s="12">
        <v>0.22500000000000001</v>
      </c>
      <c r="G93" s="12" t="str">
        <f t="shared" si="5"/>
        <v>5:00 AM – 6:00 AM</v>
      </c>
      <c r="H93" s="8">
        <v>148</v>
      </c>
      <c r="I93" s="8">
        <v>104</v>
      </c>
      <c r="J93" s="8">
        <v>69</v>
      </c>
      <c r="K93" s="8">
        <v>846</v>
      </c>
      <c r="L93" s="8">
        <v>1</v>
      </c>
      <c r="M93" s="8">
        <v>47</v>
      </c>
      <c r="N93" s="8">
        <v>8</v>
      </c>
      <c r="O93" s="8">
        <v>911</v>
      </c>
      <c r="P93" s="8">
        <v>7</v>
      </c>
    </row>
    <row r="94" spans="1:16" x14ac:dyDescent="0.3">
      <c r="A94" s="9" t="s">
        <v>154</v>
      </c>
      <c r="B94" s="9">
        <v>45570</v>
      </c>
      <c r="C94" s="7">
        <v>2024</v>
      </c>
      <c r="D94" s="7" t="str">
        <f t="shared" si="3"/>
        <v>October</v>
      </c>
      <c r="E94" s="7" t="str">
        <f t="shared" si="4"/>
        <v>Saturday</v>
      </c>
      <c r="F94" s="10">
        <v>0.53055555555555556</v>
      </c>
      <c r="G94" s="10" t="str">
        <f t="shared" si="5"/>
        <v>12:00 PM – 1:00 PM</v>
      </c>
      <c r="H94" s="7">
        <v>414</v>
      </c>
      <c r="I94" s="7">
        <v>703</v>
      </c>
      <c r="J94" s="7">
        <v>67</v>
      </c>
      <c r="K94" s="7">
        <v>1480</v>
      </c>
      <c r="L94" s="7">
        <v>1</v>
      </c>
      <c r="M94" s="7">
        <v>7</v>
      </c>
      <c r="N94" s="7">
        <v>19</v>
      </c>
      <c r="O94" s="7">
        <v>1485</v>
      </c>
      <c r="P94" s="7">
        <v>7</v>
      </c>
    </row>
    <row r="95" spans="1:16" x14ac:dyDescent="0.3">
      <c r="A95" s="11" t="s">
        <v>265</v>
      </c>
      <c r="B95" s="11">
        <v>45459</v>
      </c>
      <c r="C95" s="8">
        <v>2024</v>
      </c>
      <c r="D95" s="8" t="str">
        <f t="shared" si="3"/>
        <v>June</v>
      </c>
      <c r="E95" s="8" t="str">
        <f t="shared" si="4"/>
        <v>Sunday</v>
      </c>
      <c r="F95" s="12">
        <v>0.28194444444444444</v>
      </c>
      <c r="G95" s="12" t="str">
        <f t="shared" si="5"/>
        <v>6:00 AM – 7:00 AM</v>
      </c>
      <c r="H95" s="8">
        <v>303</v>
      </c>
      <c r="I95" s="8">
        <v>520</v>
      </c>
      <c r="J95" s="8">
        <v>67</v>
      </c>
      <c r="K95" s="8">
        <v>1234</v>
      </c>
      <c r="L95" s="8">
        <v>11</v>
      </c>
      <c r="M95" s="8">
        <v>8</v>
      </c>
      <c r="N95" s="8">
        <v>4</v>
      </c>
      <c r="O95" s="8">
        <v>1380</v>
      </c>
      <c r="P95" s="8">
        <v>1</v>
      </c>
    </row>
    <row r="96" spans="1:16" x14ac:dyDescent="0.3">
      <c r="A96" s="9" t="s">
        <v>161</v>
      </c>
      <c r="B96" s="9">
        <v>45564</v>
      </c>
      <c r="C96" s="7">
        <v>2024</v>
      </c>
      <c r="D96" s="7" t="str">
        <f t="shared" si="3"/>
        <v>September</v>
      </c>
      <c r="E96" s="7" t="str">
        <f t="shared" si="4"/>
        <v>Sunday</v>
      </c>
      <c r="F96" s="10">
        <v>0.15208333333333332</v>
      </c>
      <c r="G96" s="10" t="str">
        <f t="shared" si="5"/>
        <v>3:00 AM – 4:00 AM</v>
      </c>
      <c r="H96" s="7">
        <v>407</v>
      </c>
      <c r="I96" s="7">
        <v>686</v>
      </c>
      <c r="J96" s="7">
        <v>65</v>
      </c>
      <c r="K96" s="7">
        <v>1542</v>
      </c>
      <c r="L96" s="7">
        <v>1</v>
      </c>
      <c r="M96" s="7">
        <v>65</v>
      </c>
      <c r="N96" s="7">
        <v>4</v>
      </c>
      <c r="O96" s="7">
        <v>1543</v>
      </c>
      <c r="P96" s="7">
        <v>1</v>
      </c>
    </row>
    <row r="97" spans="1:16" x14ac:dyDescent="0.3">
      <c r="A97" s="11" t="s">
        <v>417</v>
      </c>
      <c r="B97" s="11">
        <v>45308</v>
      </c>
      <c r="C97" s="8">
        <v>2024</v>
      </c>
      <c r="D97" s="8" t="str">
        <f t="shared" si="3"/>
        <v>January</v>
      </c>
      <c r="E97" s="8" t="str">
        <f t="shared" si="4"/>
        <v>Wednesday</v>
      </c>
      <c r="F97" s="12">
        <v>0.19444444444444445</v>
      </c>
      <c r="G97" s="12" t="str">
        <f t="shared" si="5"/>
        <v>4:00 AM – 5:00 AM</v>
      </c>
      <c r="H97" s="8">
        <v>151</v>
      </c>
      <c r="I97" s="8">
        <v>113</v>
      </c>
      <c r="J97" s="8">
        <v>64</v>
      </c>
      <c r="K97" s="8">
        <v>876</v>
      </c>
      <c r="L97" s="8">
        <v>2</v>
      </c>
      <c r="M97" s="8">
        <v>4</v>
      </c>
      <c r="N97" s="8">
        <v>5</v>
      </c>
      <c r="O97" s="8">
        <v>922</v>
      </c>
      <c r="P97" s="8">
        <v>1</v>
      </c>
    </row>
    <row r="98" spans="1:16" x14ac:dyDescent="0.3">
      <c r="A98" s="9" t="s">
        <v>463</v>
      </c>
      <c r="B98" s="9">
        <v>45263</v>
      </c>
      <c r="C98" s="7">
        <v>2023</v>
      </c>
      <c r="D98" s="7" t="str">
        <f t="shared" si="3"/>
        <v>December</v>
      </c>
      <c r="E98" s="7" t="str">
        <f t="shared" si="4"/>
        <v>Sunday</v>
      </c>
      <c r="F98" s="10">
        <v>0.89583333333333337</v>
      </c>
      <c r="G98" s="10" t="str">
        <f t="shared" si="5"/>
        <v>9:00 PM – 10:00 PM</v>
      </c>
      <c r="H98" s="7">
        <v>103</v>
      </c>
      <c r="I98" s="7">
        <v>29</v>
      </c>
      <c r="J98" s="7">
        <v>63</v>
      </c>
      <c r="K98" s="7">
        <v>665</v>
      </c>
      <c r="L98" s="7">
        <v>1</v>
      </c>
      <c r="M98" s="7">
        <v>15</v>
      </c>
      <c r="N98" s="7">
        <v>17</v>
      </c>
      <c r="O98" s="7">
        <v>683</v>
      </c>
      <c r="P98" s="7">
        <v>0</v>
      </c>
    </row>
    <row r="99" spans="1:16" x14ac:dyDescent="0.3">
      <c r="A99" s="11" t="s">
        <v>409</v>
      </c>
      <c r="B99" s="11">
        <v>45316</v>
      </c>
      <c r="C99" s="8">
        <v>2024</v>
      </c>
      <c r="D99" s="8" t="str">
        <f t="shared" si="3"/>
        <v>January</v>
      </c>
      <c r="E99" s="8" t="str">
        <f t="shared" si="4"/>
        <v>Thursday</v>
      </c>
      <c r="F99" s="12">
        <v>0.14722222222222223</v>
      </c>
      <c r="G99" s="12" t="str">
        <f t="shared" si="5"/>
        <v>3:00 AM – 4:00 AM</v>
      </c>
      <c r="H99" s="8">
        <v>159</v>
      </c>
      <c r="I99" s="8">
        <v>118</v>
      </c>
      <c r="J99" s="8">
        <v>61</v>
      </c>
      <c r="K99" s="8">
        <v>947</v>
      </c>
      <c r="L99" s="8">
        <v>4</v>
      </c>
      <c r="M99" s="8">
        <v>3</v>
      </c>
      <c r="N99" s="8">
        <v>0</v>
      </c>
      <c r="O99" s="8">
        <v>960</v>
      </c>
      <c r="P99" s="8">
        <v>0</v>
      </c>
    </row>
    <row r="100" spans="1:16" x14ac:dyDescent="0.3">
      <c r="A100" s="9" t="s">
        <v>459</v>
      </c>
      <c r="B100" s="9">
        <v>45267</v>
      </c>
      <c r="C100" s="7">
        <v>2023</v>
      </c>
      <c r="D100" s="7" t="str">
        <f t="shared" si="3"/>
        <v>December</v>
      </c>
      <c r="E100" s="7" t="str">
        <f t="shared" si="4"/>
        <v>Thursday</v>
      </c>
      <c r="F100" s="10">
        <v>0.28055555555555556</v>
      </c>
      <c r="G100" s="10" t="str">
        <f t="shared" si="5"/>
        <v>6:00 AM – 7:00 AM</v>
      </c>
      <c r="H100" s="7">
        <v>107</v>
      </c>
      <c r="I100" s="7">
        <v>29</v>
      </c>
      <c r="J100" s="7">
        <v>59</v>
      </c>
      <c r="K100" s="7">
        <v>889</v>
      </c>
      <c r="L100" s="7">
        <v>3</v>
      </c>
      <c r="M100" s="7">
        <v>18</v>
      </c>
      <c r="N100" s="7">
        <v>9</v>
      </c>
      <c r="O100" s="7">
        <v>919</v>
      </c>
      <c r="P100" s="7">
        <v>0</v>
      </c>
    </row>
    <row r="101" spans="1:16" x14ac:dyDescent="0.3">
      <c r="A101" s="11" t="s">
        <v>67</v>
      </c>
      <c r="B101" s="11">
        <v>45657</v>
      </c>
      <c r="C101" s="8">
        <v>2024</v>
      </c>
      <c r="D101" s="8" t="str">
        <f t="shared" si="3"/>
        <v>December</v>
      </c>
      <c r="E101" s="8" t="str">
        <f t="shared" si="4"/>
        <v>Tuesday</v>
      </c>
      <c r="F101" s="12">
        <v>0.59513888888888888</v>
      </c>
      <c r="G101" s="12" t="str">
        <f t="shared" si="5"/>
        <v>2:00 PM – 3:00 PM</v>
      </c>
      <c r="H101" s="8">
        <v>501</v>
      </c>
      <c r="I101" s="8">
        <v>853</v>
      </c>
      <c r="J101" s="8">
        <v>58</v>
      </c>
      <c r="K101" s="8">
        <v>2723</v>
      </c>
      <c r="L101" s="8">
        <v>1</v>
      </c>
      <c r="M101" s="8">
        <v>18</v>
      </c>
      <c r="N101" s="8">
        <v>7</v>
      </c>
      <c r="O101" s="8">
        <v>2739</v>
      </c>
      <c r="P101" s="8">
        <v>29</v>
      </c>
    </row>
    <row r="102" spans="1:16" x14ac:dyDescent="0.3">
      <c r="A102" s="9" t="s">
        <v>140</v>
      </c>
      <c r="B102" s="9">
        <v>45584</v>
      </c>
      <c r="C102" s="7">
        <v>2024</v>
      </c>
      <c r="D102" s="7" t="str">
        <f t="shared" si="3"/>
        <v>October</v>
      </c>
      <c r="E102" s="7" t="str">
        <f t="shared" si="4"/>
        <v>Saturday</v>
      </c>
      <c r="F102" s="10">
        <v>0.29305555555555557</v>
      </c>
      <c r="G102" s="10" t="str">
        <f t="shared" si="5"/>
        <v>7:00 AM – 8:00 AM</v>
      </c>
      <c r="H102" s="7">
        <v>428</v>
      </c>
      <c r="I102" s="7">
        <v>751</v>
      </c>
      <c r="J102" s="7">
        <v>58</v>
      </c>
      <c r="K102" s="7">
        <v>1124</v>
      </c>
      <c r="L102" s="7">
        <v>1</v>
      </c>
      <c r="M102" s="7">
        <v>2</v>
      </c>
      <c r="N102" s="7">
        <v>2</v>
      </c>
      <c r="O102" s="7">
        <v>1138</v>
      </c>
      <c r="P102" s="7">
        <v>0</v>
      </c>
    </row>
    <row r="103" spans="1:16" x14ac:dyDescent="0.3">
      <c r="A103" s="11" t="s">
        <v>294</v>
      </c>
      <c r="B103" s="11">
        <v>45430</v>
      </c>
      <c r="C103" s="8">
        <v>2024</v>
      </c>
      <c r="D103" s="8" t="str">
        <f t="shared" si="3"/>
        <v>May</v>
      </c>
      <c r="E103" s="8" t="str">
        <f t="shared" si="4"/>
        <v>Saturday</v>
      </c>
      <c r="F103" s="12">
        <v>0.39374999999999999</v>
      </c>
      <c r="G103" s="12" t="str">
        <f t="shared" si="5"/>
        <v>9:00 AM – 10:00 AM</v>
      </c>
      <c r="H103" s="8">
        <v>274</v>
      </c>
      <c r="I103" s="8">
        <v>495</v>
      </c>
      <c r="J103" s="8">
        <v>57</v>
      </c>
      <c r="K103" s="8">
        <v>1112</v>
      </c>
      <c r="L103" s="8">
        <v>5</v>
      </c>
      <c r="M103" s="8">
        <v>69</v>
      </c>
      <c r="N103" s="8">
        <v>18</v>
      </c>
      <c r="O103" s="8">
        <v>1287</v>
      </c>
      <c r="P103" s="8">
        <v>2</v>
      </c>
    </row>
    <row r="104" spans="1:16" x14ac:dyDescent="0.3">
      <c r="A104" s="9" t="s">
        <v>48</v>
      </c>
      <c r="B104" s="9">
        <v>45676</v>
      </c>
      <c r="C104" s="7">
        <v>2025</v>
      </c>
      <c r="D104" s="7" t="str">
        <f t="shared" si="3"/>
        <v>January</v>
      </c>
      <c r="E104" s="7" t="str">
        <f t="shared" si="4"/>
        <v>Sunday</v>
      </c>
      <c r="F104" s="10">
        <v>0.6020833333333333</v>
      </c>
      <c r="G104" s="10" t="str">
        <f t="shared" si="5"/>
        <v>2:00 PM – 3:00 PM</v>
      </c>
      <c r="H104" s="7">
        <v>520</v>
      </c>
      <c r="I104" s="7">
        <v>1283</v>
      </c>
      <c r="J104" s="7">
        <v>56</v>
      </c>
      <c r="K104" s="7">
        <v>1148</v>
      </c>
      <c r="L104" s="7">
        <v>3</v>
      </c>
      <c r="M104" s="7">
        <v>43</v>
      </c>
      <c r="N104" s="7">
        <v>7</v>
      </c>
      <c r="O104" s="7">
        <v>1158</v>
      </c>
      <c r="P104" s="7">
        <v>2</v>
      </c>
    </row>
    <row r="105" spans="1:16" x14ac:dyDescent="0.3">
      <c r="A105" s="11" t="s">
        <v>155</v>
      </c>
      <c r="B105" s="11">
        <v>45569</v>
      </c>
      <c r="C105" s="8">
        <v>2024</v>
      </c>
      <c r="D105" s="8" t="str">
        <f t="shared" si="3"/>
        <v>October</v>
      </c>
      <c r="E105" s="8" t="str">
        <f t="shared" si="4"/>
        <v>Friday</v>
      </c>
      <c r="F105" s="12">
        <v>0.30069444444444443</v>
      </c>
      <c r="G105" s="12" t="str">
        <f t="shared" si="5"/>
        <v>7:00 AM – 8:00 AM</v>
      </c>
      <c r="H105" s="8">
        <v>413</v>
      </c>
      <c r="I105" s="8">
        <v>696</v>
      </c>
      <c r="J105" s="8">
        <v>56</v>
      </c>
      <c r="K105" s="8">
        <v>1420</v>
      </c>
      <c r="L105" s="8">
        <v>2</v>
      </c>
      <c r="M105" s="8">
        <v>20</v>
      </c>
      <c r="N105" s="8">
        <v>15</v>
      </c>
      <c r="O105" s="8">
        <v>1448</v>
      </c>
      <c r="P105" s="8">
        <v>-2</v>
      </c>
    </row>
    <row r="106" spans="1:16" x14ac:dyDescent="0.3">
      <c r="A106" s="9" t="s">
        <v>18</v>
      </c>
      <c r="B106" s="9">
        <v>45706</v>
      </c>
      <c r="C106" s="7">
        <v>2025</v>
      </c>
      <c r="D106" s="7" t="str">
        <f t="shared" si="3"/>
        <v>February</v>
      </c>
      <c r="E106" s="7" t="str">
        <f t="shared" si="4"/>
        <v>Tuesday</v>
      </c>
      <c r="F106" s="10">
        <v>0.64236111111111116</v>
      </c>
      <c r="G106" s="10" t="str">
        <f t="shared" si="5"/>
        <v>3:00 PM – 4:00 PM</v>
      </c>
      <c r="H106" s="7">
        <v>550</v>
      </c>
      <c r="I106" s="7">
        <v>1289</v>
      </c>
      <c r="J106" s="7">
        <v>54</v>
      </c>
      <c r="K106" s="7">
        <v>1307</v>
      </c>
      <c r="L106" s="7">
        <v>1</v>
      </c>
      <c r="M106" s="7">
        <v>6</v>
      </c>
      <c r="N106" s="7">
        <v>22</v>
      </c>
      <c r="O106" s="7">
        <v>1323</v>
      </c>
      <c r="P106" s="7">
        <v>1</v>
      </c>
    </row>
    <row r="107" spans="1:16" x14ac:dyDescent="0.3">
      <c r="A107" s="11" t="s">
        <v>286</v>
      </c>
      <c r="B107" s="11">
        <v>45438</v>
      </c>
      <c r="C107" s="8">
        <v>2024</v>
      </c>
      <c r="D107" s="8" t="str">
        <f t="shared" si="3"/>
        <v>May</v>
      </c>
      <c r="E107" s="8" t="str">
        <f t="shared" si="4"/>
        <v>Sunday</v>
      </c>
      <c r="F107" s="12">
        <v>0.29305555555555557</v>
      </c>
      <c r="G107" s="12" t="str">
        <f t="shared" si="5"/>
        <v>7:00 AM – 8:00 AM</v>
      </c>
      <c r="H107" s="8">
        <v>282</v>
      </c>
      <c r="I107" s="8">
        <v>507</v>
      </c>
      <c r="J107" s="8">
        <v>53</v>
      </c>
      <c r="K107" s="8">
        <v>992</v>
      </c>
      <c r="L107" s="8">
        <v>1</v>
      </c>
      <c r="M107" s="8">
        <v>9</v>
      </c>
      <c r="N107" s="8">
        <v>1</v>
      </c>
      <c r="O107" s="8">
        <v>1096</v>
      </c>
      <c r="P107" s="8">
        <v>0</v>
      </c>
    </row>
    <row r="108" spans="1:16" x14ac:dyDescent="0.3">
      <c r="A108" s="9" t="s">
        <v>469</v>
      </c>
      <c r="B108" s="9">
        <v>45257</v>
      </c>
      <c r="C108" s="7">
        <v>2023</v>
      </c>
      <c r="D108" s="7" t="str">
        <f t="shared" si="3"/>
        <v>November</v>
      </c>
      <c r="E108" s="7" t="str">
        <f t="shared" si="4"/>
        <v>Monday</v>
      </c>
      <c r="F108" s="10">
        <v>0.2</v>
      </c>
      <c r="G108" s="10" t="str">
        <f t="shared" si="5"/>
        <v>4:00 AM – 5:00 AM</v>
      </c>
      <c r="H108" s="7">
        <v>97</v>
      </c>
      <c r="I108" s="7">
        <v>29</v>
      </c>
      <c r="J108" s="7">
        <v>53</v>
      </c>
      <c r="K108" s="7">
        <v>459</v>
      </c>
      <c r="L108" s="7">
        <v>0</v>
      </c>
      <c r="M108" s="7">
        <v>2</v>
      </c>
      <c r="N108" s="7">
        <v>2</v>
      </c>
      <c r="O108" s="7">
        <v>480</v>
      </c>
      <c r="P108" s="7">
        <v>0</v>
      </c>
    </row>
    <row r="109" spans="1:16" x14ac:dyDescent="0.3">
      <c r="A109" s="11" t="s">
        <v>19</v>
      </c>
      <c r="B109" s="11">
        <v>45705</v>
      </c>
      <c r="C109" s="8">
        <v>2025</v>
      </c>
      <c r="D109" s="8" t="str">
        <f t="shared" si="3"/>
        <v>February</v>
      </c>
      <c r="E109" s="8" t="str">
        <f t="shared" si="4"/>
        <v>Monday</v>
      </c>
      <c r="F109" s="12">
        <v>0.29444444444444445</v>
      </c>
      <c r="G109" s="12" t="str">
        <f t="shared" si="5"/>
        <v>7:00 AM – 8:00 AM</v>
      </c>
      <c r="H109" s="8">
        <v>549</v>
      </c>
      <c r="I109" s="8">
        <v>1288</v>
      </c>
      <c r="J109" s="8">
        <v>52</v>
      </c>
      <c r="K109" s="8">
        <v>1056</v>
      </c>
      <c r="L109" s="8">
        <v>1</v>
      </c>
      <c r="M109" s="8">
        <v>1</v>
      </c>
      <c r="N109" s="8">
        <v>5</v>
      </c>
      <c r="O109" s="8">
        <v>1052</v>
      </c>
      <c r="P109" s="8">
        <v>0</v>
      </c>
    </row>
    <row r="110" spans="1:16" x14ac:dyDescent="0.3">
      <c r="A110" s="9" t="s">
        <v>170</v>
      </c>
      <c r="B110" s="9">
        <v>45554</v>
      </c>
      <c r="C110" s="7">
        <v>2024</v>
      </c>
      <c r="D110" s="7" t="str">
        <f t="shared" si="3"/>
        <v>September</v>
      </c>
      <c r="E110" s="7" t="str">
        <f t="shared" si="4"/>
        <v>Thursday</v>
      </c>
      <c r="F110" s="10">
        <v>0.31111111111111112</v>
      </c>
      <c r="G110" s="10" t="str">
        <f t="shared" si="5"/>
        <v>7:00 AM – 8:00 AM</v>
      </c>
      <c r="H110" s="7">
        <v>398</v>
      </c>
      <c r="I110" s="7">
        <v>655</v>
      </c>
      <c r="J110" s="7">
        <v>51</v>
      </c>
      <c r="K110" s="7">
        <v>1450</v>
      </c>
      <c r="L110" s="7">
        <v>2</v>
      </c>
      <c r="M110" s="7">
        <v>36</v>
      </c>
      <c r="N110" s="7">
        <v>0</v>
      </c>
      <c r="O110" s="7">
        <v>1486</v>
      </c>
      <c r="P110" s="7">
        <v>3</v>
      </c>
    </row>
    <row r="111" spans="1:16" x14ac:dyDescent="0.3">
      <c r="A111" s="11" t="s">
        <v>422</v>
      </c>
      <c r="B111" s="11">
        <v>45303</v>
      </c>
      <c r="C111" s="8">
        <v>2024</v>
      </c>
      <c r="D111" s="8" t="str">
        <f t="shared" si="3"/>
        <v>January</v>
      </c>
      <c r="E111" s="8" t="str">
        <f t="shared" si="4"/>
        <v>Friday</v>
      </c>
      <c r="F111" s="12">
        <v>0.28333333333333333</v>
      </c>
      <c r="G111" s="12" t="str">
        <f t="shared" si="5"/>
        <v>6:00 AM – 7:00 AM</v>
      </c>
      <c r="H111" s="8">
        <v>146</v>
      </c>
      <c r="I111" s="8">
        <v>93</v>
      </c>
      <c r="J111" s="8">
        <v>50</v>
      </c>
      <c r="K111" s="8">
        <v>866</v>
      </c>
      <c r="L111" s="8">
        <v>1</v>
      </c>
      <c r="M111" s="8">
        <v>9</v>
      </c>
      <c r="N111" s="8">
        <v>8</v>
      </c>
      <c r="O111" s="8">
        <v>879</v>
      </c>
      <c r="P111" s="8">
        <v>3</v>
      </c>
    </row>
    <row r="112" spans="1:16" x14ac:dyDescent="0.3">
      <c r="A112" s="9" t="s">
        <v>145</v>
      </c>
      <c r="B112" s="9">
        <v>45579</v>
      </c>
      <c r="C112" s="7">
        <v>2024</v>
      </c>
      <c r="D112" s="7" t="str">
        <f t="shared" si="3"/>
        <v>October</v>
      </c>
      <c r="E112" s="7" t="str">
        <f t="shared" si="4"/>
        <v>Monday</v>
      </c>
      <c r="F112" s="10">
        <v>0.46180555555555558</v>
      </c>
      <c r="G112" s="10" t="str">
        <f t="shared" si="5"/>
        <v>11:00 AM – 12:00 PM</v>
      </c>
      <c r="H112" s="7">
        <v>423</v>
      </c>
      <c r="I112" s="7">
        <v>743</v>
      </c>
      <c r="J112" s="7">
        <v>49</v>
      </c>
      <c r="K112" s="7">
        <v>1539</v>
      </c>
      <c r="L112" s="7">
        <v>5</v>
      </c>
      <c r="M112" s="7">
        <v>16</v>
      </c>
      <c r="N112" s="7">
        <v>45</v>
      </c>
      <c r="O112" s="7">
        <v>1569</v>
      </c>
      <c r="P112" s="7">
        <v>3</v>
      </c>
    </row>
    <row r="113" spans="1:16" x14ac:dyDescent="0.3">
      <c r="A113" s="11" t="s">
        <v>116</v>
      </c>
      <c r="B113" s="11">
        <v>45608</v>
      </c>
      <c r="C113" s="8">
        <v>2024</v>
      </c>
      <c r="D113" s="8" t="str">
        <f t="shared" si="3"/>
        <v>November</v>
      </c>
      <c r="E113" s="8" t="str">
        <f t="shared" si="4"/>
        <v>Tuesday</v>
      </c>
      <c r="F113" s="12">
        <v>0.29166666666666669</v>
      </c>
      <c r="G113" s="12" t="str">
        <f t="shared" si="5"/>
        <v>7:00 AM – 8:00 AM</v>
      </c>
      <c r="H113" s="8">
        <v>452</v>
      </c>
      <c r="I113" s="8">
        <v>776</v>
      </c>
      <c r="J113" s="8">
        <v>47</v>
      </c>
      <c r="K113" s="8">
        <v>504</v>
      </c>
      <c r="L113" s="8">
        <v>1</v>
      </c>
      <c r="M113" s="8">
        <v>11</v>
      </c>
      <c r="N113" s="8">
        <v>10</v>
      </c>
      <c r="O113" s="8">
        <v>506</v>
      </c>
      <c r="P113" s="8">
        <v>1</v>
      </c>
    </row>
    <row r="114" spans="1:16" x14ac:dyDescent="0.3">
      <c r="A114" s="9" t="s">
        <v>475</v>
      </c>
      <c r="B114" s="9">
        <v>45251</v>
      </c>
      <c r="C114" s="7">
        <v>2023</v>
      </c>
      <c r="D114" s="7" t="str">
        <f t="shared" si="3"/>
        <v>November</v>
      </c>
      <c r="E114" s="7" t="str">
        <f t="shared" si="4"/>
        <v>Tuesday</v>
      </c>
      <c r="F114" s="10">
        <v>0.11736111111111111</v>
      </c>
      <c r="G114" s="10" t="str">
        <f t="shared" si="5"/>
        <v>2:00 AM – 3:00 AM</v>
      </c>
      <c r="H114" s="7">
        <v>91</v>
      </c>
      <c r="I114" s="7">
        <v>26</v>
      </c>
      <c r="J114" s="7">
        <v>47</v>
      </c>
      <c r="K114" s="7">
        <v>257</v>
      </c>
      <c r="L114" s="7">
        <v>0</v>
      </c>
      <c r="M114" s="7">
        <v>1</v>
      </c>
      <c r="N114" s="7">
        <v>7</v>
      </c>
      <c r="O114" s="7">
        <v>263</v>
      </c>
      <c r="P114" s="7">
        <v>0</v>
      </c>
    </row>
    <row r="115" spans="1:16" x14ac:dyDescent="0.3">
      <c r="A115" s="11" t="s">
        <v>37</v>
      </c>
      <c r="B115" s="11">
        <v>45687</v>
      </c>
      <c r="C115" s="8">
        <v>2025</v>
      </c>
      <c r="D115" s="8" t="str">
        <f t="shared" si="3"/>
        <v>January</v>
      </c>
      <c r="E115" s="8" t="str">
        <f t="shared" si="4"/>
        <v>Thursday</v>
      </c>
      <c r="F115" s="12">
        <v>0.61805555555555558</v>
      </c>
      <c r="G115" s="12" t="str">
        <f t="shared" si="5"/>
        <v>2:00 PM – 3:00 PM</v>
      </c>
      <c r="H115" s="8">
        <v>531</v>
      </c>
      <c r="I115" s="8">
        <v>1296</v>
      </c>
      <c r="J115" s="8">
        <v>46</v>
      </c>
      <c r="K115" s="8">
        <v>635</v>
      </c>
      <c r="L115" s="8">
        <v>2</v>
      </c>
      <c r="M115" s="8">
        <v>13</v>
      </c>
      <c r="N115" s="8">
        <v>6</v>
      </c>
      <c r="O115" s="8">
        <v>662</v>
      </c>
      <c r="P115" s="8">
        <v>4</v>
      </c>
    </row>
    <row r="116" spans="1:16" x14ac:dyDescent="0.3">
      <c r="A116" s="9" t="s">
        <v>447</v>
      </c>
      <c r="B116" s="9">
        <v>45279</v>
      </c>
      <c r="C116" s="7">
        <v>2023</v>
      </c>
      <c r="D116" s="7" t="str">
        <f t="shared" si="3"/>
        <v>December</v>
      </c>
      <c r="E116" s="7" t="str">
        <f t="shared" si="4"/>
        <v>Tuesday</v>
      </c>
      <c r="F116" s="10">
        <v>0.10625</v>
      </c>
      <c r="G116" s="10" t="str">
        <f t="shared" si="5"/>
        <v>2:00 AM – 3:00 AM</v>
      </c>
      <c r="H116" s="7">
        <v>120</v>
      </c>
      <c r="I116" s="7">
        <v>31</v>
      </c>
      <c r="J116" s="7">
        <v>46</v>
      </c>
      <c r="K116" s="7">
        <v>1212</v>
      </c>
      <c r="L116" s="7">
        <v>6</v>
      </c>
      <c r="M116" s="7">
        <v>2</v>
      </c>
      <c r="N116" s="7">
        <v>4</v>
      </c>
      <c r="O116" s="7">
        <v>1231</v>
      </c>
      <c r="P116" s="7">
        <v>0</v>
      </c>
    </row>
    <row r="117" spans="1:16" x14ac:dyDescent="0.3">
      <c r="A117" s="11" t="s">
        <v>125</v>
      </c>
      <c r="B117" s="11">
        <v>45599</v>
      </c>
      <c r="C117" s="8">
        <v>2024</v>
      </c>
      <c r="D117" s="8" t="str">
        <f t="shared" si="3"/>
        <v>November</v>
      </c>
      <c r="E117" s="8" t="str">
        <f t="shared" si="4"/>
        <v>Sunday</v>
      </c>
      <c r="F117" s="12">
        <v>0.57222222222222219</v>
      </c>
      <c r="G117" s="12" t="str">
        <f t="shared" si="5"/>
        <v>1:00 PM – 2:00 PM</v>
      </c>
      <c r="H117" s="8">
        <v>443</v>
      </c>
      <c r="I117" s="8">
        <v>769</v>
      </c>
      <c r="J117" s="8">
        <v>45</v>
      </c>
      <c r="K117" s="8">
        <v>511</v>
      </c>
      <c r="L117" s="8">
        <v>3</v>
      </c>
      <c r="M117" s="8">
        <v>3</v>
      </c>
      <c r="N117" s="8">
        <v>4</v>
      </c>
      <c r="O117" s="8">
        <v>514</v>
      </c>
      <c r="P117" s="8">
        <v>0</v>
      </c>
    </row>
    <row r="118" spans="1:16" x14ac:dyDescent="0.3">
      <c r="A118" s="9" t="s">
        <v>239</v>
      </c>
      <c r="B118" s="9">
        <v>45485</v>
      </c>
      <c r="C118" s="7">
        <v>2024</v>
      </c>
      <c r="D118" s="7" t="str">
        <f t="shared" si="3"/>
        <v>July</v>
      </c>
      <c r="E118" s="7" t="str">
        <f t="shared" si="4"/>
        <v>Friday</v>
      </c>
      <c r="F118" s="10">
        <v>0.27847222222222223</v>
      </c>
      <c r="G118" s="10" t="str">
        <f t="shared" si="5"/>
        <v>6:00 AM – 7:00 AM</v>
      </c>
      <c r="H118" s="7">
        <v>329</v>
      </c>
      <c r="I118" s="7">
        <v>571</v>
      </c>
      <c r="J118" s="7">
        <v>45</v>
      </c>
      <c r="K118" s="7">
        <v>620</v>
      </c>
      <c r="L118" s="7">
        <v>2</v>
      </c>
      <c r="M118" s="7">
        <v>17</v>
      </c>
      <c r="N118" s="7">
        <v>11</v>
      </c>
      <c r="O118" s="7">
        <v>635</v>
      </c>
      <c r="P118" s="7">
        <v>0</v>
      </c>
    </row>
    <row r="119" spans="1:16" x14ac:dyDescent="0.3">
      <c r="A119" s="11" t="s">
        <v>93</v>
      </c>
      <c r="B119" s="11">
        <v>45631</v>
      </c>
      <c r="C119" s="8">
        <v>2024</v>
      </c>
      <c r="D119" s="8" t="str">
        <f t="shared" si="3"/>
        <v>December</v>
      </c>
      <c r="E119" s="8" t="str">
        <f t="shared" si="4"/>
        <v>Thursday</v>
      </c>
      <c r="F119" s="12">
        <v>0.53263888888888888</v>
      </c>
      <c r="G119" s="12" t="str">
        <f t="shared" si="5"/>
        <v>12:00 PM – 1:00 PM</v>
      </c>
      <c r="H119" s="8">
        <v>475</v>
      </c>
      <c r="I119" s="8">
        <v>786</v>
      </c>
      <c r="J119" s="8">
        <v>44</v>
      </c>
      <c r="K119" s="8">
        <v>704</v>
      </c>
      <c r="L119" s="8">
        <v>2</v>
      </c>
      <c r="M119" s="8">
        <v>18</v>
      </c>
      <c r="N119" s="8">
        <v>4</v>
      </c>
      <c r="O119" s="8">
        <v>721</v>
      </c>
      <c r="P119" s="8">
        <v>1</v>
      </c>
    </row>
    <row r="120" spans="1:16" x14ac:dyDescent="0.3">
      <c r="A120" s="9" t="s">
        <v>282</v>
      </c>
      <c r="B120" s="9">
        <v>45442</v>
      </c>
      <c r="C120" s="7">
        <v>2024</v>
      </c>
      <c r="D120" s="7" t="str">
        <f t="shared" si="3"/>
        <v>May</v>
      </c>
      <c r="E120" s="7" t="str">
        <f t="shared" si="4"/>
        <v>Thursday</v>
      </c>
      <c r="F120" s="10">
        <v>0.29583333333333334</v>
      </c>
      <c r="G120" s="10" t="str">
        <f t="shared" si="5"/>
        <v>7:00 AM – 8:00 AM</v>
      </c>
      <c r="H120" s="7">
        <v>286</v>
      </c>
      <c r="I120" s="7">
        <v>511</v>
      </c>
      <c r="J120" s="7">
        <v>44</v>
      </c>
      <c r="K120" s="7">
        <v>783</v>
      </c>
      <c r="L120" s="7">
        <v>1</v>
      </c>
      <c r="M120" s="7">
        <v>29</v>
      </c>
      <c r="N120" s="7">
        <v>1</v>
      </c>
      <c r="O120" s="7">
        <v>886</v>
      </c>
      <c r="P120" s="7">
        <v>2</v>
      </c>
    </row>
    <row r="121" spans="1:16" x14ac:dyDescent="0.3">
      <c r="A121" s="11" t="s">
        <v>288</v>
      </c>
      <c r="B121" s="11">
        <v>45436</v>
      </c>
      <c r="C121" s="8">
        <v>2024</v>
      </c>
      <c r="D121" s="8" t="str">
        <f t="shared" si="3"/>
        <v>May</v>
      </c>
      <c r="E121" s="8" t="str">
        <f t="shared" si="4"/>
        <v>Friday</v>
      </c>
      <c r="F121" s="12">
        <v>0.26597222222222222</v>
      </c>
      <c r="G121" s="12" t="str">
        <f t="shared" si="5"/>
        <v>6:00 AM – 7:00 AM</v>
      </c>
      <c r="H121" s="8">
        <v>280</v>
      </c>
      <c r="I121" s="8">
        <v>504</v>
      </c>
      <c r="J121" s="8">
        <v>43</v>
      </c>
      <c r="K121" s="8">
        <v>331</v>
      </c>
      <c r="L121" s="8">
        <v>1</v>
      </c>
      <c r="M121" s="8">
        <v>16</v>
      </c>
      <c r="N121" s="8">
        <v>3</v>
      </c>
      <c r="O121" s="8">
        <v>382</v>
      </c>
      <c r="P121" s="8">
        <v>1</v>
      </c>
    </row>
    <row r="122" spans="1:16" x14ac:dyDescent="0.3">
      <c r="A122" s="9" t="s">
        <v>365</v>
      </c>
      <c r="B122" s="9">
        <v>45360</v>
      </c>
      <c r="C122" s="7">
        <v>2024</v>
      </c>
      <c r="D122" s="7" t="str">
        <f t="shared" si="3"/>
        <v>March</v>
      </c>
      <c r="E122" s="7" t="str">
        <f t="shared" si="4"/>
        <v>Saturday</v>
      </c>
      <c r="F122" s="10">
        <v>0.14722222222222223</v>
      </c>
      <c r="G122" s="10" t="str">
        <f t="shared" si="5"/>
        <v>3:00 AM – 4:00 AM</v>
      </c>
      <c r="H122" s="7">
        <v>203</v>
      </c>
      <c r="I122" s="7">
        <v>135</v>
      </c>
      <c r="J122" s="7">
        <v>43</v>
      </c>
      <c r="K122" s="7">
        <v>465</v>
      </c>
      <c r="L122" s="7">
        <v>1</v>
      </c>
      <c r="M122" s="7">
        <v>5</v>
      </c>
      <c r="N122" s="7">
        <v>4</v>
      </c>
      <c r="O122" s="7">
        <v>455</v>
      </c>
      <c r="P122" s="7">
        <v>0</v>
      </c>
    </row>
    <row r="123" spans="1:16" x14ac:dyDescent="0.3">
      <c r="A123" s="11" t="s">
        <v>82</v>
      </c>
      <c r="B123" s="11">
        <v>45642</v>
      </c>
      <c r="C123" s="8">
        <v>2024</v>
      </c>
      <c r="D123" s="8" t="str">
        <f t="shared" si="3"/>
        <v>December</v>
      </c>
      <c r="E123" s="8" t="str">
        <f t="shared" si="4"/>
        <v>Monday</v>
      </c>
      <c r="F123" s="12">
        <v>0.53194444444444444</v>
      </c>
      <c r="G123" s="12" t="str">
        <f t="shared" si="5"/>
        <v>12:00 PM – 1:00 PM</v>
      </c>
      <c r="H123" s="8">
        <v>486</v>
      </c>
      <c r="I123" s="8">
        <v>790</v>
      </c>
      <c r="J123" s="8">
        <v>42</v>
      </c>
      <c r="K123" s="8">
        <v>1555</v>
      </c>
      <c r="L123" s="8">
        <v>6</v>
      </c>
      <c r="M123" s="8">
        <v>32</v>
      </c>
      <c r="N123" s="8">
        <v>26</v>
      </c>
      <c r="O123" s="8">
        <v>1569</v>
      </c>
      <c r="P123" s="8">
        <v>2</v>
      </c>
    </row>
    <row r="124" spans="1:16" x14ac:dyDescent="0.3">
      <c r="A124" s="9" t="s">
        <v>201</v>
      </c>
      <c r="B124" s="9">
        <v>45523</v>
      </c>
      <c r="C124" s="7">
        <v>2024</v>
      </c>
      <c r="D124" s="7" t="str">
        <f t="shared" si="3"/>
        <v>August</v>
      </c>
      <c r="E124" s="7" t="str">
        <f t="shared" si="4"/>
        <v>Monday</v>
      </c>
      <c r="F124" s="10">
        <v>0.27777777777777779</v>
      </c>
      <c r="G124" s="10" t="str">
        <f t="shared" si="5"/>
        <v>6:00 AM – 7:00 AM</v>
      </c>
      <c r="H124" s="7">
        <v>367</v>
      </c>
      <c r="I124" s="7">
        <v>571</v>
      </c>
      <c r="J124" s="7">
        <v>42</v>
      </c>
      <c r="K124" s="7">
        <v>309</v>
      </c>
      <c r="L124" s="7">
        <v>3</v>
      </c>
      <c r="M124" s="7">
        <v>9</v>
      </c>
      <c r="N124" s="7">
        <v>2</v>
      </c>
      <c r="O124" s="7">
        <v>337</v>
      </c>
      <c r="P124" s="7">
        <v>0</v>
      </c>
    </row>
    <row r="125" spans="1:16" x14ac:dyDescent="0.3">
      <c r="A125" s="11" t="s">
        <v>57</v>
      </c>
      <c r="B125" s="11">
        <v>45667</v>
      </c>
      <c r="C125" s="8">
        <v>2025</v>
      </c>
      <c r="D125" s="8" t="str">
        <f t="shared" si="3"/>
        <v>January</v>
      </c>
      <c r="E125" s="8" t="str">
        <f t="shared" si="4"/>
        <v>Friday</v>
      </c>
      <c r="F125" s="12">
        <v>0.62083333333333335</v>
      </c>
      <c r="G125" s="12" t="str">
        <f t="shared" si="5"/>
        <v>2:00 PM – 3:00 PM</v>
      </c>
      <c r="H125" s="8">
        <v>511</v>
      </c>
      <c r="I125" s="8">
        <v>1279</v>
      </c>
      <c r="J125" s="8">
        <v>41</v>
      </c>
      <c r="K125" s="8">
        <v>1314</v>
      </c>
      <c r="L125" s="8">
        <v>1</v>
      </c>
      <c r="M125" s="8">
        <v>10</v>
      </c>
      <c r="N125" s="8">
        <v>45</v>
      </c>
      <c r="O125" s="8">
        <v>1315</v>
      </c>
      <c r="P125" s="8">
        <v>0</v>
      </c>
    </row>
    <row r="126" spans="1:16" x14ac:dyDescent="0.3">
      <c r="A126" s="9" t="s">
        <v>111</v>
      </c>
      <c r="B126" s="9">
        <v>45613</v>
      </c>
      <c r="C126" s="7">
        <v>2024</v>
      </c>
      <c r="D126" s="7" t="str">
        <f t="shared" si="3"/>
        <v>November</v>
      </c>
      <c r="E126" s="7" t="str">
        <f t="shared" si="4"/>
        <v>Sunday</v>
      </c>
      <c r="F126" s="10">
        <v>0.58611111111111114</v>
      </c>
      <c r="G126" s="10" t="str">
        <f t="shared" si="5"/>
        <v>2:00 PM – 3:00 PM</v>
      </c>
      <c r="H126" s="7">
        <v>457</v>
      </c>
      <c r="I126" s="7">
        <v>776</v>
      </c>
      <c r="J126" s="7">
        <v>41</v>
      </c>
      <c r="K126" s="7">
        <v>599</v>
      </c>
      <c r="L126" s="7">
        <v>1</v>
      </c>
      <c r="M126" s="7">
        <v>19</v>
      </c>
      <c r="N126" s="7">
        <v>5</v>
      </c>
      <c r="O126" s="7">
        <v>611</v>
      </c>
      <c r="P126" s="7">
        <v>-2</v>
      </c>
    </row>
    <row r="127" spans="1:16" x14ac:dyDescent="0.3">
      <c r="A127" s="11" t="s">
        <v>65</v>
      </c>
      <c r="B127" s="11">
        <v>45659</v>
      </c>
      <c r="C127" s="8">
        <v>2025</v>
      </c>
      <c r="D127" s="8" t="str">
        <f t="shared" si="3"/>
        <v>January</v>
      </c>
      <c r="E127" s="8" t="str">
        <f t="shared" si="4"/>
        <v>Thursday</v>
      </c>
      <c r="F127" s="12">
        <v>0.61041666666666672</v>
      </c>
      <c r="G127" s="12" t="str">
        <f t="shared" si="5"/>
        <v>2:00 PM – 3:00 PM</v>
      </c>
      <c r="H127" s="8">
        <v>503</v>
      </c>
      <c r="I127" s="8">
        <v>1081</v>
      </c>
      <c r="J127" s="8">
        <v>40</v>
      </c>
      <c r="K127" s="8">
        <v>1567</v>
      </c>
      <c r="L127" s="8">
        <v>2</v>
      </c>
      <c r="M127" s="8">
        <v>5</v>
      </c>
      <c r="N127" s="8">
        <v>18</v>
      </c>
      <c r="O127" s="8">
        <v>1612</v>
      </c>
      <c r="P127" s="8">
        <v>123</v>
      </c>
    </row>
    <row r="128" spans="1:16" x14ac:dyDescent="0.3">
      <c r="A128" s="9" t="s">
        <v>77</v>
      </c>
      <c r="B128" s="9">
        <v>45647</v>
      </c>
      <c r="C128" s="7">
        <v>2024</v>
      </c>
      <c r="D128" s="7" t="str">
        <f t="shared" si="3"/>
        <v>December</v>
      </c>
      <c r="E128" s="7" t="str">
        <f t="shared" si="4"/>
        <v>Saturday</v>
      </c>
      <c r="F128" s="10">
        <v>0.5395833333333333</v>
      </c>
      <c r="G128" s="10" t="str">
        <f t="shared" si="5"/>
        <v>12:00 PM – 1:00 PM</v>
      </c>
      <c r="H128" s="7">
        <v>491</v>
      </c>
      <c r="I128" s="7">
        <v>797</v>
      </c>
      <c r="J128" s="7">
        <v>40</v>
      </c>
      <c r="K128" s="7">
        <v>1859</v>
      </c>
      <c r="L128" s="7">
        <v>3</v>
      </c>
      <c r="M128" s="7">
        <v>26</v>
      </c>
      <c r="N128" s="7">
        <v>41</v>
      </c>
      <c r="O128" s="7">
        <v>1847</v>
      </c>
      <c r="P128" s="7">
        <v>4</v>
      </c>
    </row>
    <row r="129" spans="1:16" x14ac:dyDescent="0.3">
      <c r="A129" s="11" t="s">
        <v>104</v>
      </c>
      <c r="B129" s="11">
        <v>45620</v>
      </c>
      <c r="C129" s="8">
        <v>2024</v>
      </c>
      <c r="D129" s="8" t="str">
        <f t="shared" si="3"/>
        <v>November</v>
      </c>
      <c r="E129" s="8" t="str">
        <f t="shared" si="4"/>
        <v>Sunday</v>
      </c>
      <c r="F129" s="12">
        <v>0.51111111111111107</v>
      </c>
      <c r="G129" s="12" t="str">
        <f t="shared" si="5"/>
        <v>12:00 PM – 1:00 PM</v>
      </c>
      <c r="H129" s="8">
        <v>464</v>
      </c>
      <c r="I129" s="8">
        <v>775</v>
      </c>
      <c r="J129" s="8">
        <v>40</v>
      </c>
      <c r="K129" s="8">
        <v>1223</v>
      </c>
      <c r="L129" s="8">
        <v>1</v>
      </c>
      <c r="M129" s="8">
        <v>3</v>
      </c>
      <c r="N129" s="8">
        <v>1</v>
      </c>
      <c r="O129" s="8">
        <v>1222</v>
      </c>
      <c r="P129" s="8">
        <v>0</v>
      </c>
    </row>
    <row r="130" spans="1:16" x14ac:dyDescent="0.3">
      <c r="A130" s="9" t="s">
        <v>12</v>
      </c>
      <c r="B130" s="9">
        <v>45713</v>
      </c>
      <c r="C130" s="7">
        <v>2025</v>
      </c>
      <c r="D130" s="7" t="str">
        <f t="shared" ref="D130:D193" si="6">TEXT(B130,"MMMM")</f>
        <v>February</v>
      </c>
      <c r="E130" s="7" t="str">
        <f t="shared" ref="E130:E193" si="7">TEXT(B130,"dddd")</f>
        <v>Tuesday</v>
      </c>
      <c r="F130" s="10">
        <v>0.625</v>
      </c>
      <c r="G130" s="10" t="str">
        <f t="shared" ref="G130:G193" si="8">TEXT(FLOOR(F130,"1:00"),"h:mm AM/PM") &amp; " – " &amp; TEXT(FLOOR(F130,"1:00") + TIME(1,0,0),"h:mm AM/PM")</f>
        <v>3:00 PM – 4:00 PM</v>
      </c>
      <c r="H130" s="7">
        <v>556</v>
      </c>
      <c r="I130" s="7">
        <v>1284</v>
      </c>
      <c r="J130" s="7">
        <v>39</v>
      </c>
      <c r="K130" s="7">
        <v>1533</v>
      </c>
      <c r="L130" s="7">
        <v>7</v>
      </c>
      <c r="M130" s="7">
        <v>18</v>
      </c>
      <c r="N130" s="7">
        <v>8</v>
      </c>
      <c r="O130" s="7">
        <v>1572</v>
      </c>
      <c r="P130" s="7">
        <v>-3</v>
      </c>
    </row>
    <row r="131" spans="1:16" x14ac:dyDescent="0.3">
      <c r="A131" s="11" t="s">
        <v>379</v>
      </c>
      <c r="B131" s="11">
        <v>45346</v>
      </c>
      <c r="C131" s="8">
        <v>2024</v>
      </c>
      <c r="D131" s="8" t="str">
        <f t="shared" si="6"/>
        <v>February</v>
      </c>
      <c r="E131" s="8" t="str">
        <f t="shared" si="7"/>
        <v>Saturday</v>
      </c>
      <c r="F131" s="12">
        <v>0.26805555555555555</v>
      </c>
      <c r="G131" s="12" t="str">
        <f t="shared" si="8"/>
        <v>6:00 AM – 7:00 AM</v>
      </c>
      <c r="H131" s="8">
        <v>189</v>
      </c>
      <c r="I131" s="8">
        <v>130</v>
      </c>
      <c r="J131" s="8">
        <v>39</v>
      </c>
      <c r="K131" s="8">
        <v>650</v>
      </c>
      <c r="L131" s="8">
        <v>2</v>
      </c>
      <c r="M131" s="8">
        <v>1</v>
      </c>
      <c r="N131" s="8">
        <v>2</v>
      </c>
      <c r="O131" s="8">
        <v>653</v>
      </c>
      <c r="P131" s="8">
        <v>5</v>
      </c>
    </row>
    <row r="132" spans="1:16" x14ac:dyDescent="0.3">
      <c r="A132" s="9" t="s">
        <v>137</v>
      </c>
      <c r="B132" s="9">
        <v>45587</v>
      </c>
      <c r="C132" s="7">
        <v>2024</v>
      </c>
      <c r="D132" s="7" t="str">
        <f t="shared" si="6"/>
        <v>October</v>
      </c>
      <c r="E132" s="7" t="str">
        <f t="shared" si="7"/>
        <v>Tuesday</v>
      </c>
      <c r="F132" s="10">
        <v>0.53125</v>
      </c>
      <c r="G132" s="10" t="str">
        <f t="shared" si="8"/>
        <v>12:00 PM – 1:00 PM</v>
      </c>
      <c r="H132" s="7">
        <v>431</v>
      </c>
      <c r="I132" s="7">
        <v>755</v>
      </c>
      <c r="J132" s="7">
        <v>38</v>
      </c>
      <c r="K132" s="7">
        <v>794</v>
      </c>
      <c r="L132" s="7">
        <v>1</v>
      </c>
      <c r="M132" s="7">
        <v>26</v>
      </c>
      <c r="N132" s="7">
        <v>15</v>
      </c>
      <c r="O132" s="7">
        <v>791</v>
      </c>
      <c r="P132" s="7">
        <v>1</v>
      </c>
    </row>
    <row r="133" spans="1:16" x14ac:dyDescent="0.3">
      <c r="A133" s="11" t="s">
        <v>290</v>
      </c>
      <c r="B133" s="11">
        <v>45434</v>
      </c>
      <c r="C133" s="8">
        <v>2024</v>
      </c>
      <c r="D133" s="8" t="str">
        <f t="shared" si="6"/>
        <v>May</v>
      </c>
      <c r="E133" s="8" t="str">
        <f t="shared" si="7"/>
        <v>Wednesday</v>
      </c>
      <c r="F133" s="12">
        <v>0.25208333333333333</v>
      </c>
      <c r="G133" s="12" t="str">
        <f t="shared" si="8"/>
        <v>6:00 AM – 7:00 AM</v>
      </c>
      <c r="H133" s="8">
        <v>278</v>
      </c>
      <c r="I133" s="8">
        <v>504</v>
      </c>
      <c r="J133" s="8">
        <v>37</v>
      </c>
      <c r="K133" s="8">
        <v>963</v>
      </c>
      <c r="L133" s="8">
        <v>1</v>
      </c>
      <c r="M133" s="8">
        <v>8</v>
      </c>
      <c r="N133" s="8">
        <v>5</v>
      </c>
      <c r="O133" s="8">
        <v>1086</v>
      </c>
      <c r="P133" s="8">
        <v>0</v>
      </c>
    </row>
    <row r="134" spans="1:16" x14ac:dyDescent="0.3">
      <c r="A134" s="9" t="s">
        <v>345</v>
      </c>
      <c r="B134" s="9">
        <v>45379</v>
      </c>
      <c r="C134" s="7">
        <v>2024</v>
      </c>
      <c r="D134" s="7" t="str">
        <f t="shared" si="6"/>
        <v>March</v>
      </c>
      <c r="E134" s="7" t="str">
        <f t="shared" si="7"/>
        <v>Thursday</v>
      </c>
      <c r="F134" s="10">
        <v>0.21527777777777779</v>
      </c>
      <c r="G134" s="10" t="str">
        <f t="shared" si="8"/>
        <v>5:00 AM – 6:00 AM</v>
      </c>
      <c r="H134" s="7">
        <v>223</v>
      </c>
      <c r="I134" s="7">
        <v>193</v>
      </c>
      <c r="J134" s="7">
        <v>37</v>
      </c>
      <c r="K134" s="7">
        <v>883</v>
      </c>
      <c r="L134" s="7">
        <v>3</v>
      </c>
      <c r="M134" s="7">
        <v>1</v>
      </c>
      <c r="N134" s="7">
        <v>4</v>
      </c>
      <c r="O134" s="7">
        <v>873</v>
      </c>
      <c r="P134" s="7">
        <v>8</v>
      </c>
    </row>
    <row r="135" spans="1:16" x14ac:dyDescent="0.3">
      <c r="A135" s="11" t="s">
        <v>149</v>
      </c>
      <c r="B135" s="11">
        <v>45575</v>
      </c>
      <c r="C135" s="8">
        <v>2024</v>
      </c>
      <c r="D135" s="8" t="str">
        <f t="shared" si="6"/>
        <v>October</v>
      </c>
      <c r="E135" s="8" t="str">
        <f t="shared" si="7"/>
        <v>Thursday</v>
      </c>
      <c r="F135" s="12">
        <v>0.49027777777777776</v>
      </c>
      <c r="G135" s="12" t="str">
        <f t="shared" si="8"/>
        <v>11:00 AM – 12:00 PM</v>
      </c>
      <c r="H135" s="8">
        <v>419</v>
      </c>
      <c r="I135" s="8">
        <v>738</v>
      </c>
      <c r="J135" s="8">
        <v>36</v>
      </c>
      <c r="K135" s="8">
        <v>737</v>
      </c>
      <c r="L135" s="8">
        <v>2</v>
      </c>
      <c r="M135" s="8">
        <v>7</v>
      </c>
      <c r="N135" s="8">
        <v>1</v>
      </c>
      <c r="O135" s="8">
        <v>736</v>
      </c>
      <c r="P135" s="8">
        <v>7</v>
      </c>
    </row>
    <row r="136" spans="1:16" x14ac:dyDescent="0.3">
      <c r="A136" s="9" t="s">
        <v>152</v>
      </c>
      <c r="B136" s="9">
        <v>45572</v>
      </c>
      <c r="C136" s="7">
        <v>2024</v>
      </c>
      <c r="D136" s="7" t="str">
        <f t="shared" si="6"/>
        <v>October</v>
      </c>
      <c r="E136" s="7" t="str">
        <f t="shared" si="7"/>
        <v>Monday</v>
      </c>
      <c r="F136" s="10">
        <v>0.47499999999999998</v>
      </c>
      <c r="G136" s="10" t="str">
        <f t="shared" si="8"/>
        <v>11:00 AM – 12:00 PM</v>
      </c>
      <c r="H136" s="7">
        <v>416</v>
      </c>
      <c r="I136" s="7">
        <v>712</v>
      </c>
      <c r="J136" s="7">
        <v>36</v>
      </c>
      <c r="K136" s="7">
        <v>508</v>
      </c>
      <c r="L136" s="7">
        <v>1</v>
      </c>
      <c r="M136" s="7">
        <v>7</v>
      </c>
      <c r="N136" s="7">
        <v>5</v>
      </c>
      <c r="O136" s="7">
        <v>517</v>
      </c>
      <c r="P136" s="7">
        <v>3</v>
      </c>
    </row>
    <row r="137" spans="1:16" x14ac:dyDescent="0.3">
      <c r="A137" s="11" t="s">
        <v>251</v>
      </c>
      <c r="B137" s="11">
        <v>45473</v>
      </c>
      <c r="C137" s="8">
        <v>2024</v>
      </c>
      <c r="D137" s="8" t="str">
        <f t="shared" si="6"/>
        <v>June</v>
      </c>
      <c r="E137" s="8" t="str">
        <f t="shared" si="7"/>
        <v>Sunday</v>
      </c>
      <c r="F137" s="12">
        <v>0.27708333333333335</v>
      </c>
      <c r="G137" s="12" t="str">
        <f t="shared" si="8"/>
        <v>6:00 AM – 7:00 AM</v>
      </c>
      <c r="H137" s="8">
        <v>317</v>
      </c>
      <c r="I137" s="8">
        <v>546</v>
      </c>
      <c r="J137" s="8">
        <v>36</v>
      </c>
      <c r="K137" s="8">
        <v>736</v>
      </c>
      <c r="L137" s="8">
        <v>1</v>
      </c>
      <c r="M137" s="8">
        <v>3</v>
      </c>
      <c r="N137" s="8">
        <v>24</v>
      </c>
      <c r="O137" s="8">
        <v>785</v>
      </c>
      <c r="P137" s="8">
        <v>12</v>
      </c>
    </row>
    <row r="138" spans="1:16" x14ac:dyDescent="0.3">
      <c r="A138" s="9" t="s">
        <v>24</v>
      </c>
      <c r="B138" s="9">
        <v>45700</v>
      </c>
      <c r="C138" s="7">
        <v>2025</v>
      </c>
      <c r="D138" s="7" t="str">
        <f t="shared" si="6"/>
        <v>February</v>
      </c>
      <c r="E138" s="7" t="str">
        <f t="shared" si="7"/>
        <v>Wednesday</v>
      </c>
      <c r="F138" s="10">
        <v>0.59236111111111112</v>
      </c>
      <c r="G138" s="10" t="str">
        <f t="shared" si="8"/>
        <v>2:00 PM – 3:00 PM</v>
      </c>
      <c r="H138" s="7">
        <v>544</v>
      </c>
      <c r="I138" s="7">
        <v>1293</v>
      </c>
      <c r="J138" s="7">
        <v>35</v>
      </c>
      <c r="K138" s="7">
        <v>670</v>
      </c>
      <c r="L138" s="7">
        <v>1</v>
      </c>
      <c r="M138" s="7">
        <v>24</v>
      </c>
      <c r="N138" s="7">
        <v>9</v>
      </c>
      <c r="O138" s="7">
        <v>669</v>
      </c>
      <c r="P138" s="7">
        <v>0</v>
      </c>
    </row>
    <row r="139" spans="1:16" x14ac:dyDescent="0.3">
      <c r="A139" s="11" t="s">
        <v>136</v>
      </c>
      <c r="B139" s="11">
        <v>45589</v>
      </c>
      <c r="C139" s="8">
        <v>2024</v>
      </c>
      <c r="D139" s="8" t="str">
        <f t="shared" si="6"/>
        <v>October</v>
      </c>
      <c r="E139" s="8" t="str">
        <f t="shared" si="7"/>
        <v>Thursday</v>
      </c>
      <c r="F139" s="12">
        <v>0.18819444444444444</v>
      </c>
      <c r="G139" s="12" t="str">
        <f t="shared" si="8"/>
        <v>4:00 AM – 5:00 AM</v>
      </c>
      <c r="H139" s="8">
        <v>432</v>
      </c>
      <c r="I139" s="8">
        <v>756</v>
      </c>
      <c r="J139" s="8">
        <v>35</v>
      </c>
      <c r="K139" s="8">
        <v>524</v>
      </c>
      <c r="L139" s="8">
        <v>1</v>
      </c>
      <c r="M139" s="8">
        <v>3</v>
      </c>
      <c r="N139" s="8">
        <v>5</v>
      </c>
      <c r="O139" s="8">
        <v>551</v>
      </c>
      <c r="P139" s="8">
        <v>1</v>
      </c>
    </row>
    <row r="140" spans="1:16" x14ac:dyDescent="0.3">
      <c r="A140" s="9" t="s">
        <v>196</v>
      </c>
      <c r="B140" s="9">
        <v>45528</v>
      </c>
      <c r="C140" s="7">
        <v>2024</v>
      </c>
      <c r="D140" s="7" t="str">
        <f t="shared" si="6"/>
        <v>August</v>
      </c>
      <c r="E140" s="7" t="str">
        <f t="shared" si="7"/>
        <v>Saturday</v>
      </c>
      <c r="F140" s="10">
        <v>0.31874999999999998</v>
      </c>
      <c r="G140" s="10" t="str">
        <f t="shared" si="8"/>
        <v>7:00 AM – 8:00 AM</v>
      </c>
      <c r="H140" s="7">
        <v>372</v>
      </c>
      <c r="I140" s="7">
        <v>574</v>
      </c>
      <c r="J140" s="7">
        <v>35</v>
      </c>
      <c r="K140" s="7">
        <v>380</v>
      </c>
      <c r="L140" s="7">
        <v>2</v>
      </c>
      <c r="M140" s="7">
        <v>23</v>
      </c>
      <c r="N140" s="7">
        <v>13</v>
      </c>
      <c r="O140" s="7">
        <v>396</v>
      </c>
      <c r="P140" s="7">
        <v>-1</v>
      </c>
    </row>
    <row r="141" spans="1:16" x14ac:dyDescent="0.3">
      <c r="A141" s="11" t="s">
        <v>128</v>
      </c>
      <c r="B141" s="11">
        <v>45596</v>
      </c>
      <c r="C141" s="8">
        <v>2024</v>
      </c>
      <c r="D141" s="8" t="str">
        <f t="shared" si="6"/>
        <v>October</v>
      </c>
      <c r="E141" s="8" t="str">
        <f t="shared" si="7"/>
        <v>Thursday</v>
      </c>
      <c r="F141" s="12">
        <v>0.4548611111111111</v>
      </c>
      <c r="G141" s="12" t="str">
        <f t="shared" si="8"/>
        <v>10:00 AM – 11:00 AM</v>
      </c>
      <c r="H141" s="8">
        <v>440</v>
      </c>
      <c r="I141" s="8">
        <v>765</v>
      </c>
      <c r="J141" s="8">
        <v>33</v>
      </c>
      <c r="K141" s="8">
        <v>527</v>
      </c>
      <c r="L141" s="8">
        <v>1</v>
      </c>
      <c r="M141" s="8">
        <v>1</v>
      </c>
      <c r="N141" s="8">
        <v>1</v>
      </c>
      <c r="O141" s="8">
        <v>525</v>
      </c>
      <c r="P141" s="8">
        <v>2</v>
      </c>
    </row>
    <row r="142" spans="1:16" x14ac:dyDescent="0.3">
      <c r="A142" s="9" t="s">
        <v>62</v>
      </c>
      <c r="B142" s="9">
        <v>45662</v>
      </c>
      <c r="C142" s="7">
        <v>2025</v>
      </c>
      <c r="D142" s="7" t="str">
        <f t="shared" si="6"/>
        <v>January</v>
      </c>
      <c r="E142" s="7" t="str">
        <f t="shared" si="7"/>
        <v>Sunday</v>
      </c>
      <c r="F142" s="10">
        <v>0.55902777777777779</v>
      </c>
      <c r="G142" s="10" t="str">
        <f t="shared" si="8"/>
        <v>1:00 PM – 2:00 PM</v>
      </c>
      <c r="H142" s="7">
        <v>506</v>
      </c>
      <c r="I142" s="7">
        <v>1247</v>
      </c>
      <c r="J142" s="7">
        <v>32</v>
      </c>
      <c r="K142" s="7">
        <v>599</v>
      </c>
      <c r="L142" s="7">
        <v>1</v>
      </c>
      <c r="M142" s="7">
        <v>16</v>
      </c>
      <c r="N142" s="7">
        <v>21</v>
      </c>
      <c r="O142" s="7">
        <v>597</v>
      </c>
      <c r="P142" s="7">
        <v>17</v>
      </c>
    </row>
    <row r="143" spans="1:16" x14ac:dyDescent="0.3">
      <c r="A143" s="11" t="s">
        <v>156</v>
      </c>
      <c r="B143" s="11">
        <v>45568</v>
      </c>
      <c r="C143" s="8">
        <v>2024</v>
      </c>
      <c r="D143" s="8" t="str">
        <f t="shared" si="6"/>
        <v>October</v>
      </c>
      <c r="E143" s="8" t="str">
        <f t="shared" si="7"/>
        <v>Thursday</v>
      </c>
      <c r="F143" s="12">
        <v>0.57986111111111116</v>
      </c>
      <c r="G143" s="12" t="str">
        <f t="shared" si="8"/>
        <v>1:00 PM – 2:00 PM</v>
      </c>
      <c r="H143" s="8">
        <v>412</v>
      </c>
      <c r="I143" s="8">
        <v>698</v>
      </c>
      <c r="J143" s="8">
        <v>31</v>
      </c>
      <c r="K143" s="8">
        <v>299</v>
      </c>
      <c r="L143" s="8">
        <v>6</v>
      </c>
      <c r="M143" s="8">
        <v>8</v>
      </c>
      <c r="N143" s="8">
        <v>30</v>
      </c>
      <c r="O143" s="8">
        <v>337</v>
      </c>
      <c r="P143" s="8">
        <v>2</v>
      </c>
    </row>
    <row r="144" spans="1:16" x14ac:dyDescent="0.3">
      <c r="A144" s="9" t="s">
        <v>248</v>
      </c>
      <c r="B144" s="9">
        <v>45476</v>
      </c>
      <c r="C144" s="7">
        <v>2024</v>
      </c>
      <c r="D144" s="7" t="str">
        <f t="shared" si="6"/>
        <v>July</v>
      </c>
      <c r="E144" s="7" t="str">
        <f t="shared" si="7"/>
        <v>Wednesday</v>
      </c>
      <c r="F144" s="10">
        <v>0.27986111111111112</v>
      </c>
      <c r="G144" s="10" t="str">
        <f t="shared" si="8"/>
        <v>6:00 AM – 7:00 AM</v>
      </c>
      <c r="H144" s="7">
        <v>320</v>
      </c>
      <c r="I144" s="7">
        <v>562</v>
      </c>
      <c r="J144" s="7">
        <v>31</v>
      </c>
      <c r="K144" s="7">
        <v>307</v>
      </c>
      <c r="L144" s="7">
        <v>2</v>
      </c>
      <c r="M144" s="7">
        <v>10</v>
      </c>
      <c r="N144" s="7">
        <v>19</v>
      </c>
      <c r="O144" s="7">
        <v>331</v>
      </c>
      <c r="P144" s="7">
        <v>5</v>
      </c>
    </row>
    <row r="145" spans="1:16" x14ac:dyDescent="0.3">
      <c r="A145" s="11" t="s">
        <v>176</v>
      </c>
      <c r="B145" s="11">
        <v>45548</v>
      </c>
      <c r="C145" s="8">
        <v>2024</v>
      </c>
      <c r="D145" s="8" t="str">
        <f t="shared" si="6"/>
        <v>September</v>
      </c>
      <c r="E145" s="8" t="str">
        <f t="shared" si="7"/>
        <v>Friday</v>
      </c>
      <c r="F145" s="12">
        <v>0.53333333333333333</v>
      </c>
      <c r="G145" s="12" t="str">
        <f t="shared" si="8"/>
        <v>12:00 PM – 1:00 PM</v>
      </c>
      <c r="H145" s="8">
        <v>392</v>
      </c>
      <c r="I145" s="8">
        <v>640</v>
      </c>
      <c r="J145" s="8">
        <v>29</v>
      </c>
      <c r="K145" s="8">
        <v>483</v>
      </c>
      <c r="L145" s="8">
        <v>3</v>
      </c>
      <c r="M145" s="8">
        <v>3</v>
      </c>
      <c r="N145" s="8">
        <v>1</v>
      </c>
      <c r="O145" s="8">
        <v>503</v>
      </c>
      <c r="P145" s="8">
        <v>5</v>
      </c>
    </row>
    <row r="146" spans="1:16" x14ac:dyDescent="0.3">
      <c r="A146" s="9" t="s">
        <v>319</v>
      </c>
      <c r="B146" s="9">
        <v>45405</v>
      </c>
      <c r="C146" s="7">
        <v>2024</v>
      </c>
      <c r="D146" s="7" t="str">
        <f t="shared" si="6"/>
        <v>April</v>
      </c>
      <c r="E146" s="7" t="str">
        <f t="shared" si="7"/>
        <v>Tuesday</v>
      </c>
      <c r="F146" s="10">
        <v>0.40555555555555556</v>
      </c>
      <c r="G146" s="10" t="str">
        <f t="shared" si="8"/>
        <v>9:00 AM – 10:00 AM</v>
      </c>
      <c r="H146" s="7">
        <v>249</v>
      </c>
      <c r="I146" s="7">
        <v>452</v>
      </c>
      <c r="J146" s="7">
        <v>29</v>
      </c>
      <c r="K146" s="7">
        <v>937</v>
      </c>
      <c r="L146" s="7">
        <v>1</v>
      </c>
      <c r="M146" s="7">
        <v>7</v>
      </c>
      <c r="N146" s="7">
        <v>5</v>
      </c>
      <c r="O146" s="7">
        <v>942</v>
      </c>
      <c r="P146" s="7">
        <v>2</v>
      </c>
    </row>
    <row r="147" spans="1:16" x14ac:dyDescent="0.3">
      <c r="A147" s="11" t="s">
        <v>452</v>
      </c>
      <c r="B147" s="11">
        <v>45274</v>
      </c>
      <c r="C147" s="8">
        <v>2023</v>
      </c>
      <c r="D147" s="8" t="str">
        <f t="shared" si="6"/>
        <v>December</v>
      </c>
      <c r="E147" s="8" t="str">
        <f t="shared" si="7"/>
        <v>Thursday</v>
      </c>
      <c r="F147" s="12">
        <v>0.26597222222222222</v>
      </c>
      <c r="G147" s="12" t="str">
        <f t="shared" si="8"/>
        <v>6:00 AM – 7:00 AM</v>
      </c>
      <c r="H147" s="8">
        <v>115</v>
      </c>
      <c r="I147" s="8">
        <v>29</v>
      </c>
      <c r="J147" s="8">
        <v>29</v>
      </c>
      <c r="K147" s="8">
        <v>555</v>
      </c>
      <c r="L147" s="8">
        <v>5</v>
      </c>
      <c r="M147" s="8">
        <v>4</v>
      </c>
      <c r="N147" s="8">
        <v>11</v>
      </c>
      <c r="O147" s="8">
        <v>574</v>
      </c>
      <c r="P147" s="8">
        <v>0</v>
      </c>
    </row>
    <row r="148" spans="1:16" x14ac:dyDescent="0.3">
      <c r="A148" s="9" t="s">
        <v>122</v>
      </c>
      <c r="B148" s="9">
        <v>45602</v>
      </c>
      <c r="C148" s="7">
        <v>2024</v>
      </c>
      <c r="D148" s="7" t="str">
        <f t="shared" si="6"/>
        <v>November</v>
      </c>
      <c r="E148" s="7" t="str">
        <f t="shared" si="7"/>
        <v>Wednesday</v>
      </c>
      <c r="F148" s="10">
        <v>0.54722222222222228</v>
      </c>
      <c r="G148" s="10" t="str">
        <f t="shared" si="8"/>
        <v>1:00 PM – 2:00 PM</v>
      </c>
      <c r="H148" s="7">
        <v>446</v>
      </c>
      <c r="I148" s="7">
        <v>772</v>
      </c>
      <c r="J148" s="7">
        <v>28</v>
      </c>
      <c r="K148" s="7">
        <v>357</v>
      </c>
      <c r="L148" s="7">
        <v>1</v>
      </c>
      <c r="M148" s="7">
        <v>0</v>
      </c>
      <c r="N148" s="7">
        <v>2</v>
      </c>
      <c r="O148" s="7">
        <v>362</v>
      </c>
      <c r="P148" s="7">
        <v>1</v>
      </c>
    </row>
    <row r="149" spans="1:16" x14ac:dyDescent="0.3">
      <c r="A149" s="11" t="s">
        <v>126</v>
      </c>
      <c r="B149" s="11">
        <v>45598</v>
      </c>
      <c r="C149" s="8">
        <v>2024</v>
      </c>
      <c r="D149" s="8" t="str">
        <f t="shared" si="6"/>
        <v>November</v>
      </c>
      <c r="E149" s="8" t="str">
        <f t="shared" si="7"/>
        <v>Saturday</v>
      </c>
      <c r="F149" s="12">
        <v>0.28472222222222221</v>
      </c>
      <c r="G149" s="12" t="str">
        <f t="shared" si="8"/>
        <v>6:00 AM – 7:00 AM</v>
      </c>
      <c r="H149" s="8">
        <v>442</v>
      </c>
      <c r="I149" s="8">
        <v>769</v>
      </c>
      <c r="J149" s="8">
        <v>28</v>
      </c>
      <c r="K149" s="8">
        <v>396</v>
      </c>
      <c r="L149" s="8">
        <v>1</v>
      </c>
      <c r="M149" s="8">
        <v>5</v>
      </c>
      <c r="N149" s="8">
        <v>6</v>
      </c>
      <c r="O149" s="8">
        <v>393</v>
      </c>
      <c r="P149" s="8">
        <v>2</v>
      </c>
    </row>
    <row r="150" spans="1:16" x14ac:dyDescent="0.3">
      <c r="A150" s="9" t="s">
        <v>27</v>
      </c>
      <c r="B150" s="9">
        <v>45697</v>
      </c>
      <c r="C150" s="7">
        <v>2025</v>
      </c>
      <c r="D150" s="7" t="str">
        <f t="shared" si="6"/>
        <v>February</v>
      </c>
      <c r="E150" s="7" t="str">
        <f t="shared" si="7"/>
        <v>Sunday</v>
      </c>
      <c r="F150" s="10">
        <v>0.63541666666666663</v>
      </c>
      <c r="G150" s="10" t="str">
        <f t="shared" si="8"/>
        <v>3:00 PM – 4:00 PM</v>
      </c>
      <c r="H150" s="7">
        <v>541</v>
      </c>
      <c r="I150" s="7">
        <v>1295</v>
      </c>
      <c r="J150" s="7">
        <v>26</v>
      </c>
      <c r="K150" s="7">
        <v>411</v>
      </c>
      <c r="L150" s="7">
        <v>1</v>
      </c>
      <c r="M150" s="7">
        <v>19</v>
      </c>
      <c r="N150" s="7">
        <v>5</v>
      </c>
      <c r="O150" s="7">
        <v>412</v>
      </c>
      <c r="P150" s="7">
        <v>0</v>
      </c>
    </row>
    <row r="151" spans="1:16" x14ac:dyDescent="0.3">
      <c r="A151" s="11" t="s">
        <v>79</v>
      </c>
      <c r="B151" s="11">
        <v>45645</v>
      </c>
      <c r="C151" s="8">
        <v>2024</v>
      </c>
      <c r="D151" s="8" t="str">
        <f t="shared" si="6"/>
        <v>December</v>
      </c>
      <c r="E151" s="8" t="str">
        <f t="shared" si="7"/>
        <v>Thursday</v>
      </c>
      <c r="F151" s="12">
        <v>0.54513888888888884</v>
      </c>
      <c r="G151" s="12" t="str">
        <f t="shared" si="8"/>
        <v>1:00 PM – 2:00 PM</v>
      </c>
      <c r="H151" s="8">
        <v>489</v>
      </c>
      <c r="I151" s="8">
        <v>790</v>
      </c>
      <c r="J151" s="8">
        <v>26</v>
      </c>
      <c r="K151" s="8">
        <v>1015</v>
      </c>
      <c r="L151" s="8">
        <v>1</v>
      </c>
      <c r="M151" s="8">
        <v>12</v>
      </c>
      <c r="N151" s="8">
        <v>1</v>
      </c>
      <c r="O151" s="8">
        <v>1009</v>
      </c>
      <c r="P151" s="8">
        <v>0</v>
      </c>
    </row>
    <row r="152" spans="1:16" x14ac:dyDescent="0.3">
      <c r="A152" s="9" t="s">
        <v>298</v>
      </c>
      <c r="B152" s="9">
        <v>45426</v>
      </c>
      <c r="C152" s="7">
        <v>2024</v>
      </c>
      <c r="D152" s="7" t="str">
        <f t="shared" si="6"/>
        <v>May</v>
      </c>
      <c r="E152" s="7" t="str">
        <f t="shared" si="7"/>
        <v>Tuesday</v>
      </c>
      <c r="F152" s="10">
        <v>0.23680555555555555</v>
      </c>
      <c r="G152" s="10" t="str">
        <f t="shared" si="8"/>
        <v>5:00 AM – 6:00 AM</v>
      </c>
      <c r="H152" s="7">
        <v>270</v>
      </c>
      <c r="I152" s="7">
        <v>492</v>
      </c>
      <c r="J152" s="7">
        <v>26</v>
      </c>
      <c r="K152" s="7">
        <v>215</v>
      </c>
      <c r="L152" s="7">
        <v>4</v>
      </c>
      <c r="M152" s="7">
        <v>2</v>
      </c>
      <c r="N152" s="7">
        <v>6</v>
      </c>
      <c r="O152" s="7">
        <v>240</v>
      </c>
      <c r="P152" s="7">
        <v>1</v>
      </c>
    </row>
    <row r="153" spans="1:16" x14ac:dyDescent="0.3">
      <c r="A153" s="11" t="s">
        <v>357</v>
      </c>
      <c r="B153" s="11">
        <v>45368</v>
      </c>
      <c r="C153" s="8">
        <v>2024</v>
      </c>
      <c r="D153" s="8" t="str">
        <f t="shared" si="6"/>
        <v>March</v>
      </c>
      <c r="E153" s="8" t="str">
        <f t="shared" si="7"/>
        <v>Sunday</v>
      </c>
      <c r="F153" s="12">
        <v>0.27847222222222223</v>
      </c>
      <c r="G153" s="12" t="str">
        <f t="shared" si="8"/>
        <v>6:00 AM – 7:00 AM</v>
      </c>
      <c r="H153" s="8">
        <v>211</v>
      </c>
      <c r="I153" s="8">
        <v>141</v>
      </c>
      <c r="J153" s="8">
        <v>26</v>
      </c>
      <c r="K153" s="8">
        <v>534</v>
      </c>
      <c r="L153" s="8">
        <v>1</v>
      </c>
      <c r="M153" s="8">
        <v>7</v>
      </c>
      <c r="N153" s="8">
        <v>3</v>
      </c>
      <c r="O153" s="8">
        <v>534</v>
      </c>
      <c r="P153" s="8">
        <v>0</v>
      </c>
    </row>
    <row r="154" spans="1:16" x14ac:dyDescent="0.3">
      <c r="A154" s="9" t="s">
        <v>474</v>
      </c>
      <c r="B154" s="9">
        <v>45252</v>
      </c>
      <c r="C154" s="7">
        <v>2023</v>
      </c>
      <c r="D154" s="7" t="str">
        <f t="shared" si="6"/>
        <v>November</v>
      </c>
      <c r="E154" s="7" t="str">
        <f t="shared" si="7"/>
        <v>Wednesday</v>
      </c>
      <c r="F154" s="10">
        <v>0.1125</v>
      </c>
      <c r="G154" s="10" t="str">
        <f t="shared" si="8"/>
        <v>2:00 AM – 3:00 AM</v>
      </c>
      <c r="H154" s="7">
        <v>92</v>
      </c>
      <c r="I154" s="7">
        <v>27</v>
      </c>
      <c r="J154" s="7">
        <v>26</v>
      </c>
      <c r="K154" s="7">
        <v>199</v>
      </c>
      <c r="L154" s="7">
        <v>0</v>
      </c>
      <c r="M154" s="7">
        <v>2</v>
      </c>
      <c r="N154" s="7">
        <v>6</v>
      </c>
      <c r="O154" s="7">
        <v>208</v>
      </c>
      <c r="P154" s="7">
        <v>1</v>
      </c>
    </row>
    <row r="155" spans="1:16" x14ac:dyDescent="0.3">
      <c r="A155" s="11" t="s">
        <v>418</v>
      </c>
      <c r="B155" s="11">
        <v>45307</v>
      </c>
      <c r="C155" s="8">
        <v>2024</v>
      </c>
      <c r="D155" s="8" t="str">
        <f t="shared" si="6"/>
        <v>January</v>
      </c>
      <c r="E155" s="8" t="str">
        <f t="shared" si="7"/>
        <v>Tuesday</v>
      </c>
      <c r="F155" s="12">
        <v>0.20902777777777778</v>
      </c>
      <c r="G155" s="12" t="str">
        <f t="shared" si="8"/>
        <v>5:00 AM – 6:00 AM</v>
      </c>
      <c r="H155" s="8">
        <v>150</v>
      </c>
      <c r="I155" s="8">
        <v>112</v>
      </c>
      <c r="J155" s="8">
        <v>25</v>
      </c>
      <c r="K155" s="8">
        <v>312</v>
      </c>
      <c r="L155" s="8">
        <v>2</v>
      </c>
      <c r="M155" s="8">
        <v>0</v>
      </c>
      <c r="N155" s="8">
        <v>4</v>
      </c>
      <c r="O155" s="8">
        <v>313</v>
      </c>
      <c r="P155" s="8">
        <v>1</v>
      </c>
    </row>
    <row r="156" spans="1:16" x14ac:dyDescent="0.3">
      <c r="A156" s="9" t="s">
        <v>42</v>
      </c>
      <c r="B156" s="9">
        <v>45682</v>
      </c>
      <c r="C156" s="7">
        <v>2025</v>
      </c>
      <c r="D156" s="7" t="str">
        <f t="shared" si="6"/>
        <v>January</v>
      </c>
      <c r="E156" s="7" t="str">
        <f t="shared" si="7"/>
        <v>Saturday</v>
      </c>
      <c r="F156" s="10">
        <v>0.57430555555555551</v>
      </c>
      <c r="G156" s="10" t="str">
        <f t="shared" si="8"/>
        <v>1:00 PM – 2:00 PM</v>
      </c>
      <c r="H156" s="7">
        <v>526</v>
      </c>
      <c r="I156" s="7">
        <v>1288</v>
      </c>
      <c r="J156" s="7">
        <v>24</v>
      </c>
      <c r="K156" s="7">
        <v>280</v>
      </c>
      <c r="L156" s="7">
        <v>1</v>
      </c>
      <c r="M156" s="7">
        <v>1</v>
      </c>
      <c r="N156" s="7">
        <v>2</v>
      </c>
      <c r="O156" s="7">
        <v>281</v>
      </c>
      <c r="P156" s="7">
        <v>1</v>
      </c>
    </row>
    <row r="157" spans="1:16" x14ac:dyDescent="0.3">
      <c r="A157" s="11" t="s">
        <v>61</v>
      </c>
      <c r="B157" s="11">
        <v>45663</v>
      </c>
      <c r="C157" s="8">
        <v>2025</v>
      </c>
      <c r="D157" s="8" t="str">
        <f t="shared" si="6"/>
        <v>January</v>
      </c>
      <c r="E157" s="8" t="str">
        <f t="shared" si="7"/>
        <v>Monday</v>
      </c>
      <c r="F157" s="12">
        <v>0.6166666666666667</v>
      </c>
      <c r="G157" s="12" t="str">
        <f t="shared" si="8"/>
        <v>2:00 PM – 3:00 PM</v>
      </c>
      <c r="H157" s="8">
        <v>507</v>
      </c>
      <c r="I157" s="8">
        <v>1253</v>
      </c>
      <c r="J157" s="8">
        <v>23</v>
      </c>
      <c r="K157" s="8">
        <v>446</v>
      </c>
      <c r="L157" s="8">
        <v>1</v>
      </c>
      <c r="M157" s="8">
        <v>0</v>
      </c>
      <c r="N157" s="8">
        <v>3</v>
      </c>
      <c r="O157" s="8">
        <v>448</v>
      </c>
      <c r="P157" s="8">
        <v>6</v>
      </c>
    </row>
    <row r="158" spans="1:16" x14ac:dyDescent="0.3">
      <c r="A158" s="9" t="s">
        <v>123</v>
      </c>
      <c r="B158" s="9">
        <v>45601</v>
      </c>
      <c r="C158" s="7">
        <v>2024</v>
      </c>
      <c r="D158" s="7" t="str">
        <f t="shared" si="6"/>
        <v>November</v>
      </c>
      <c r="E158" s="7" t="str">
        <f t="shared" si="7"/>
        <v>Tuesday</v>
      </c>
      <c r="F158" s="10">
        <v>0.59513888888888888</v>
      </c>
      <c r="G158" s="10" t="str">
        <f t="shared" si="8"/>
        <v>2:00 PM – 3:00 PM</v>
      </c>
      <c r="H158" s="7">
        <v>445</v>
      </c>
      <c r="I158" s="7">
        <v>771</v>
      </c>
      <c r="J158" s="7">
        <v>23</v>
      </c>
      <c r="K158" s="7">
        <v>282</v>
      </c>
      <c r="L158" s="7">
        <v>1</v>
      </c>
      <c r="M158" s="7">
        <v>1</v>
      </c>
      <c r="N158" s="7">
        <v>3</v>
      </c>
      <c r="O158" s="7">
        <v>286</v>
      </c>
      <c r="P158" s="7">
        <v>1</v>
      </c>
    </row>
    <row r="159" spans="1:16" x14ac:dyDescent="0.3">
      <c r="A159" s="11" t="s">
        <v>181</v>
      </c>
      <c r="B159" s="11">
        <v>45543</v>
      </c>
      <c r="C159" s="8">
        <v>2024</v>
      </c>
      <c r="D159" s="8" t="str">
        <f t="shared" si="6"/>
        <v>September</v>
      </c>
      <c r="E159" s="8" t="str">
        <f t="shared" si="7"/>
        <v>Sunday</v>
      </c>
      <c r="F159" s="12">
        <v>0.29375000000000001</v>
      </c>
      <c r="G159" s="12" t="str">
        <f t="shared" si="8"/>
        <v>7:00 AM – 8:00 AM</v>
      </c>
      <c r="H159" s="8">
        <v>387</v>
      </c>
      <c r="I159" s="8">
        <v>622</v>
      </c>
      <c r="J159" s="8">
        <v>23</v>
      </c>
      <c r="K159" s="8">
        <v>224</v>
      </c>
      <c r="L159" s="8">
        <v>2</v>
      </c>
      <c r="M159" s="8">
        <v>32</v>
      </c>
      <c r="N159" s="8">
        <v>8</v>
      </c>
      <c r="O159" s="8">
        <v>228</v>
      </c>
      <c r="P159" s="8">
        <v>4</v>
      </c>
    </row>
    <row r="160" spans="1:16" x14ac:dyDescent="0.3">
      <c r="A160" s="9" t="s">
        <v>182</v>
      </c>
      <c r="B160" s="9">
        <v>45542</v>
      </c>
      <c r="C160" s="7">
        <v>2024</v>
      </c>
      <c r="D160" s="7" t="str">
        <f t="shared" si="6"/>
        <v>September</v>
      </c>
      <c r="E160" s="7" t="str">
        <f t="shared" si="7"/>
        <v>Saturday</v>
      </c>
      <c r="F160" s="10">
        <v>0.28819444444444442</v>
      </c>
      <c r="G160" s="10" t="str">
        <f t="shared" si="8"/>
        <v>6:00 AM – 7:00 AM</v>
      </c>
      <c r="H160" s="7">
        <v>386</v>
      </c>
      <c r="I160" s="7">
        <v>618</v>
      </c>
      <c r="J160" s="7">
        <v>23</v>
      </c>
      <c r="K160" s="7">
        <v>299</v>
      </c>
      <c r="L160" s="7">
        <v>2</v>
      </c>
      <c r="M160" s="7">
        <v>1</v>
      </c>
      <c r="N160" s="7">
        <v>9</v>
      </c>
      <c r="O160" s="7">
        <v>326</v>
      </c>
      <c r="P160" s="7">
        <v>4</v>
      </c>
    </row>
    <row r="161" spans="1:16" x14ac:dyDescent="0.3">
      <c r="A161" s="11" t="s">
        <v>66</v>
      </c>
      <c r="B161" s="11">
        <v>45658</v>
      </c>
      <c r="C161" s="8">
        <v>2025</v>
      </c>
      <c r="D161" s="8" t="str">
        <f t="shared" si="6"/>
        <v>January</v>
      </c>
      <c r="E161" s="8" t="str">
        <f t="shared" si="7"/>
        <v>Wednesday</v>
      </c>
      <c r="F161" s="12">
        <v>0.55763888888888891</v>
      </c>
      <c r="G161" s="12" t="str">
        <f t="shared" si="8"/>
        <v>1:00 PM – 2:00 PM</v>
      </c>
      <c r="H161" s="8">
        <v>502</v>
      </c>
      <c r="I161" s="8">
        <v>958</v>
      </c>
      <c r="J161" s="8">
        <v>22</v>
      </c>
      <c r="K161" s="8">
        <v>1789</v>
      </c>
      <c r="L161" s="8">
        <v>2</v>
      </c>
      <c r="M161" s="8">
        <v>0</v>
      </c>
      <c r="N161" s="8">
        <v>16</v>
      </c>
      <c r="O161" s="8">
        <v>1786</v>
      </c>
      <c r="P161" s="8">
        <v>105</v>
      </c>
    </row>
    <row r="162" spans="1:16" x14ac:dyDescent="0.3">
      <c r="A162" s="9" t="s">
        <v>302</v>
      </c>
      <c r="B162" s="9">
        <v>45422</v>
      </c>
      <c r="C162" s="7">
        <v>2024</v>
      </c>
      <c r="D162" s="7" t="str">
        <f t="shared" si="6"/>
        <v>May</v>
      </c>
      <c r="E162" s="7" t="str">
        <f t="shared" si="7"/>
        <v>Friday</v>
      </c>
      <c r="F162" s="10">
        <v>0.22638888888888889</v>
      </c>
      <c r="G162" s="10" t="str">
        <f t="shared" si="8"/>
        <v>5:00 AM – 6:00 AM</v>
      </c>
      <c r="H162" s="7">
        <v>266</v>
      </c>
      <c r="I162" s="7">
        <v>484</v>
      </c>
      <c r="J162" s="7">
        <v>22</v>
      </c>
      <c r="K162" s="7">
        <v>210</v>
      </c>
      <c r="L162" s="7">
        <v>5</v>
      </c>
      <c r="M162" s="7">
        <v>9</v>
      </c>
      <c r="N162" s="7">
        <v>4</v>
      </c>
      <c r="O162" s="7">
        <v>227</v>
      </c>
      <c r="P162" s="7">
        <v>2</v>
      </c>
    </row>
    <row r="163" spans="1:16" x14ac:dyDescent="0.3">
      <c r="A163" s="11" t="s">
        <v>449</v>
      </c>
      <c r="B163" s="11">
        <v>45277</v>
      </c>
      <c r="C163" s="8">
        <v>2023</v>
      </c>
      <c r="D163" s="8" t="str">
        <f t="shared" si="6"/>
        <v>December</v>
      </c>
      <c r="E163" s="8" t="str">
        <f t="shared" si="7"/>
        <v>Sunday</v>
      </c>
      <c r="F163" s="12">
        <v>0.28541666666666665</v>
      </c>
      <c r="G163" s="12" t="str">
        <f t="shared" si="8"/>
        <v>6:00 AM – 7:00 AM</v>
      </c>
      <c r="H163" s="8">
        <v>118</v>
      </c>
      <c r="I163" s="8">
        <v>31</v>
      </c>
      <c r="J163" s="8">
        <v>22</v>
      </c>
      <c r="K163" s="8">
        <v>216</v>
      </c>
      <c r="L163" s="8">
        <v>5</v>
      </c>
      <c r="M163" s="8">
        <v>0</v>
      </c>
      <c r="N163" s="8">
        <v>0</v>
      </c>
      <c r="O163" s="8">
        <v>215</v>
      </c>
      <c r="P163" s="8">
        <v>0</v>
      </c>
    </row>
    <row r="164" spans="1:16" x14ac:dyDescent="0.3">
      <c r="A164" s="9" t="s">
        <v>28</v>
      </c>
      <c r="B164" s="9">
        <v>45696</v>
      </c>
      <c r="C164" s="7">
        <v>2025</v>
      </c>
      <c r="D164" s="7" t="str">
        <f t="shared" si="6"/>
        <v>February</v>
      </c>
      <c r="E164" s="7" t="str">
        <f t="shared" si="7"/>
        <v>Saturday</v>
      </c>
      <c r="F164" s="10">
        <v>0.5493055555555556</v>
      </c>
      <c r="G164" s="10" t="str">
        <f t="shared" si="8"/>
        <v>1:00 PM – 2:00 PM</v>
      </c>
      <c r="H164" s="7">
        <v>540</v>
      </c>
      <c r="I164" s="7">
        <v>1295</v>
      </c>
      <c r="J164" s="7">
        <v>21</v>
      </c>
      <c r="K164" s="7">
        <v>233</v>
      </c>
      <c r="L164" s="7">
        <v>1</v>
      </c>
      <c r="M164" s="7">
        <v>3</v>
      </c>
      <c r="N164" s="7">
        <v>1</v>
      </c>
      <c r="O164" s="7">
        <v>232</v>
      </c>
      <c r="P164" s="7">
        <v>0</v>
      </c>
    </row>
    <row r="165" spans="1:16" x14ac:dyDescent="0.3">
      <c r="A165" s="11" t="s">
        <v>134</v>
      </c>
      <c r="B165" s="11">
        <v>45590</v>
      </c>
      <c r="C165" s="8">
        <v>2024</v>
      </c>
      <c r="D165" s="8" t="str">
        <f t="shared" si="6"/>
        <v>October</v>
      </c>
      <c r="E165" s="8" t="str">
        <f t="shared" si="7"/>
        <v>Friday</v>
      </c>
      <c r="F165" s="12">
        <v>0.55138888888888893</v>
      </c>
      <c r="G165" s="12" t="str">
        <f t="shared" si="8"/>
        <v>1:00 PM – 2:00 PM</v>
      </c>
      <c r="H165" s="8">
        <v>434</v>
      </c>
      <c r="I165" s="8">
        <v>757</v>
      </c>
      <c r="J165" s="8">
        <v>21</v>
      </c>
      <c r="K165" s="8">
        <v>255</v>
      </c>
      <c r="L165" s="8">
        <v>1</v>
      </c>
      <c r="M165" s="8">
        <v>7</v>
      </c>
      <c r="N165" s="8">
        <v>3</v>
      </c>
      <c r="O165" s="8">
        <v>261</v>
      </c>
      <c r="P165" s="8">
        <v>0</v>
      </c>
    </row>
    <row r="166" spans="1:16" x14ac:dyDescent="0.3">
      <c r="A166" s="9" t="s">
        <v>162</v>
      </c>
      <c r="B166" s="9">
        <v>45562</v>
      </c>
      <c r="C166" s="7">
        <v>2024</v>
      </c>
      <c r="D166" s="7" t="str">
        <f t="shared" si="6"/>
        <v>September</v>
      </c>
      <c r="E166" s="7" t="str">
        <f t="shared" si="7"/>
        <v>Friday</v>
      </c>
      <c r="F166" s="10">
        <v>0.47569444444444442</v>
      </c>
      <c r="G166" s="10" t="str">
        <f t="shared" si="8"/>
        <v>11:00 AM – 12:00 PM</v>
      </c>
      <c r="H166" s="7">
        <v>406</v>
      </c>
      <c r="I166" s="7">
        <v>685</v>
      </c>
      <c r="J166" s="7">
        <v>21</v>
      </c>
      <c r="K166" s="7">
        <v>302</v>
      </c>
      <c r="L166" s="7">
        <v>1</v>
      </c>
      <c r="M166" s="7">
        <v>1</v>
      </c>
      <c r="N166" s="7">
        <v>3</v>
      </c>
      <c r="O166" s="7">
        <v>312</v>
      </c>
      <c r="P166" s="7">
        <v>3</v>
      </c>
    </row>
    <row r="167" spans="1:16" x14ac:dyDescent="0.3">
      <c r="A167" s="11" t="s">
        <v>281</v>
      </c>
      <c r="B167" s="11">
        <v>45443</v>
      </c>
      <c r="C167" s="8">
        <v>2024</v>
      </c>
      <c r="D167" s="8" t="str">
        <f t="shared" si="6"/>
        <v>May</v>
      </c>
      <c r="E167" s="8" t="str">
        <f t="shared" si="7"/>
        <v>Friday</v>
      </c>
      <c r="F167" s="12">
        <v>0.28819444444444442</v>
      </c>
      <c r="G167" s="12" t="str">
        <f t="shared" si="8"/>
        <v>6:00 AM – 7:00 AM</v>
      </c>
      <c r="H167" s="8">
        <v>287</v>
      </c>
      <c r="I167" s="8">
        <v>511</v>
      </c>
      <c r="J167" s="8">
        <v>21</v>
      </c>
      <c r="K167" s="8">
        <v>259</v>
      </c>
      <c r="L167" s="8">
        <v>1</v>
      </c>
      <c r="M167" s="8">
        <v>2</v>
      </c>
      <c r="N167" s="8">
        <v>2</v>
      </c>
      <c r="O167" s="8">
        <v>291</v>
      </c>
      <c r="P167" s="8">
        <v>0</v>
      </c>
    </row>
    <row r="168" spans="1:16" x14ac:dyDescent="0.3">
      <c r="A168" s="9" t="s">
        <v>315</v>
      </c>
      <c r="B168" s="9">
        <v>45409</v>
      </c>
      <c r="C168" s="7">
        <v>2024</v>
      </c>
      <c r="D168" s="7" t="str">
        <f t="shared" si="6"/>
        <v>April</v>
      </c>
      <c r="E168" s="7" t="str">
        <f t="shared" si="7"/>
        <v>Saturday</v>
      </c>
      <c r="F168" s="10">
        <v>0.23333333333333334</v>
      </c>
      <c r="G168" s="10" t="str">
        <f t="shared" si="8"/>
        <v>5:00 AM – 6:00 AM</v>
      </c>
      <c r="H168" s="7">
        <v>253</v>
      </c>
      <c r="I168" s="7">
        <v>457</v>
      </c>
      <c r="J168" s="7">
        <v>21</v>
      </c>
      <c r="K168" s="7">
        <v>318</v>
      </c>
      <c r="L168" s="7">
        <v>1</v>
      </c>
      <c r="M168" s="7">
        <v>5</v>
      </c>
      <c r="N168" s="7">
        <v>0</v>
      </c>
      <c r="O168" s="7">
        <v>325</v>
      </c>
      <c r="P168" s="7">
        <v>1</v>
      </c>
    </row>
    <row r="169" spans="1:16" x14ac:dyDescent="0.3">
      <c r="A169" s="11" t="s">
        <v>370</v>
      </c>
      <c r="B169" s="11">
        <v>45355</v>
      </c>
      <c r="C169" s="8">
        <v>2024</v>
      </c>
      <c r="D169" s="8" t="str">
        <f t="shared" si="6"/>
        <v>March</v>
      </c>
      <c r="E169" s="8" t="str">
        <f t="shared" si="7"/>
        <v>Monday</v>
      </c>
      <c r="F169" s="12">
        <v>0.15763888888888888</v>
      </c>
      <c r="G169" s="12" t="str">
        <f t="shared" si="8"/>
        <v>3:00 AM – 4:00 AM</v>
      </c>
      <c r="H169" s="8">
        <v>198</v>
      </c>
      <c r="I169" s="8">
        <v>131</v>
      </c>
      <c r="J169" s="8">
        <v>21</v>
      </c>
      <c r="K169" s="8">
        <v>377</v>
      </c>
      <c r="L169" s="8">
        <v>3</v>
      </c>
      <c r="M169" s="8">
        <v>2</v>
      </c>
      <c r="N169" s="8">
        <v>5</v>
      </c>
      <c r="O169" s="8">
        <v>399</v>
      </c>
      <c r="P169" s="8">
        <v>-1</v>
      </c>
    </row>
    <row r="170" spans="1:16" x14ac:dyDescent="0.3">
      <c r="A170" s="9" t="s">
        <v>25</v>
      </c>
      <c r="B170" s="9">
        <v>45699</v>
      </c>
      <c r="C170" s="7">
        <v>2025</v>
      </c>
      <c r="D170" s="7" t="str">
        <f t="shared" si="6"/>
        <v>February</v>
      </c>
      <c r="E170" s="7" t="str">
        <f t="shared" si="7"/>
        <v>Tuesday</v>
      </c>
      <c r="F170" s="10">
        <v>0.6118055555555556</v>
      </c>
      <c r="G170" s="10" t="str">
        <f t="shared" si="8"/>
        <v>2:00 PM – 3:00 PM</v>
      </c>
      <c r="H170" s="7">
        <v>543</v>
      </c>
      <c r="I170" s="7">
        <v>1293</v>
      </c>
      <c r="J170" s="7">
        <v>20</v>
      </c>
      <c r="K170" s="7">
        <v>524</v>
      </c>
      <c r="L170" s="7">
        <v>1</v>
      </c>
      <c r="M170" s="7">
        <v>2</v>
      </c>
      <c r="N170" s="7">
        <v>0</v>
      </c>
      <c r="O170" s="7">
        <v>527</v>
      </c>
      <c r="P170" s="7">
        <v>0</v>
      </c>
    </row>
    <row r="171" spans="1:16" x14ac:dyDescent="0.3">
      <c r="A171" s="11" t="s">
        <v>45</v>
      </c>
      <c r="B171" s="11">
        <v>45679</v>
      </c>
      <c r="C171" s="8">
        <v>2025</v>
      </c>
      <c r="D171" s="8" t="str">
        <f t="shared" si="6"/>
        <v>January</v>
      </c>
      <c r="E171" s="8" t="str">
        <f t="shared" si="7"/>
        <v>Wednesday</v>
      </c>
      <c r="F171" s="12">
        <v>0.60972222222222228</v>
      </c>
      <c r="G171" s="12" t="str">
        <f t="shared" si="8"/>
        <v>2:00 PM – 3:00 PM</v>
      </c>
      <c r="H171" s="8">
        <v>523</v>
      </c>
      <c r="I171" s="8">
        <v>1287</v>
      </c>
      <c r="J171" s="8">
        <v>20</v>
      </c>
      <c r="K171" s="8">
        <v>273</v>
      </c>
      <c r="L171" s="8">
        <v>1</v>
      </c>
      <c r="M171" s="8">
        <v>2</v>
      </c>
      <c r="N171" s="8">
        <v>2</v>
      </c>
      <c r="O171" s="8">
        <v>277</v>
      </c>
      <c r="P171" s="8">
        <v>1</v>
      </c>
    </row>
    <row r="172" spans="1:16" x14ac:dyDescent="0.3">
      <c r="A172" s="9" t="s">
        <v>144</v>
      </c>
      <c r="B172" s="9">
        <v>45580</v>
      </c>
      <c r="C172" s="7">
        <v>2024</v>
      </c>
      <c r="D172" s="7" t="str">
        <f t="shared" si="6"/>
        <v>October</v>
      </c>
      <c r="E172" s="7" t="str">
        <f t="shared" si="7"/>
        <v>Tuesday</v>
      </c>
      <c r="F172" s="10">
        <v>0.47847222222222224</v>
      </c>
      <c r="G172" s="10" t="str">
        <f t="shared" si="8"/>
        <v>11:00 AM – 12:00 PM</v>
      </c>
      <c r="H172" s="7">
        <v>424</v>
      </c>
      <c r="I172" s="7">
        <v>744</v>
      </c>
      <c r="J172" s="7">
        <v>20</v>
      </c>
      <c r="K172" s="7">
        <v>225</v>
      </c>
      <c r="L172" s="7">
        <v>1</v>
      </c>
      <c r="M172" s="7">
        <v>5</v>
      </c>
      <c r="N172" s="7">
        <v>9</v>
      </c>
      <c r="O172" s="7">
        <v>237</v>
      </c>
      <c r="P172" s="7">
        <v>1</v>
      </c>
    </row>
    <row r="173" spans="1:16" x14ac:dyDescent="0.3">
      <c r="A173" s="11" t="s">
        <v>148</v>
      </c>
      <c r="B173" s="11">
        <v>45576</v>
      </c>
      <c r="C173" s="8">
        <v>2024</v>
      </c>
      <c r="D173" s="8" t="str">
        <f t="shared" si="6"/>
        <v>October</v>
      </c>
      <c r="E173" s="8" t="str">
        <f t="shared" si="7"/>
        <v>Friday</v>
      </c>
      <c r="F173" s="12">
        <v>0.45694444444444443</v>
      </c>
      <c r="G173" s="12" t="str">
        <f t="shared" si="8"/>
        <v>10:00 AM – 11:00 AM</v>
      </c>
      <c r="H173" s="8">
        <v>420</v>
      </c>
      <c r="I173" s="8">
        <v>740</v>
      </c>
      <c r="J173" s="8">
        <v>20</v>
      </c>
      <c r="K173" s="8">
        <v>480</v>
      </c>
      <c r="L173" s="8">
        <v>2</v>
      </c>
      <c r="M173" s="8">
        <v>3</v>
      </c>
      <c r="N173" s="8">
        <v>5</v>
      </c>
      <c r="O173" s="8">
        <v>484</v>
      </c>
      <c r="P173" s="8">
        <v>2</v>
      </c>
    </row>
    <row r="174" spans="1:16" x14ac:dyDescent="0.3">
      <c r="A174" s="9" t="s">
        <v>157</v>
      </c>
      <c r="B174" s="9">
        <v>45567</v>
      </c>
      <c r="C174" s="7">
        <v>2024</v>
      </c>
      <c r="D174" s="7" t="str">
        <f t="shared" si="6"/>
        <v>October</v>
      </c>
      <c r="E174" s="7" t="str">
        <f t="shared" si="7"/>
        <v>Wednesday</v>
      </c>
      <c r="F174" s="10">
        <v>0.46180555555555558</v>
      </c>
      <c r="G174" s="10" t="str">
        <f t="shared" si="8"/>
        <v>11:00 AM – 12:00 PM</v>
      </c>
      <c r="H174" s="7">
        <v>411</v>
      </c>
      <c r="I174" s="7">
        <v>696</v>
      </c>
      <c r="J174" s="7">
        <v>20</v>
      </c>
      <c r="K174" s="7">
        <v>561</v>
      </c>
      <c r="L174" s="7">
        <v>3</v>
      </c>
      <c r="M174" s="7">
        <v>4</v>
      </c>
      <c r="N174" s="7">
        <v>7</v>
      </c>
      <c r="O174" s="7">
        <v>578</v>
      </c>
      <c r="P174" s="7">
        <v>6</v>
      </c>
    </row>
    <row r="175" spans="1:16" x14ac:dyDescent="0.3">
      <c r="A175" s="11" t="s">
        <v>180</v>
      </c>
      <c r="B175" s="11">
        <v>45544</v>
      </c>
      <c r="C175" s="8">
        <v>2024</v>
      </c>
      <c r="D175" s="8" t="str">
        <f t="shared" si="6"/>
        <v>September</v>
      </c>
      <c r="E175" s="8" t="str">
        <f t="shared" si="7"/>
        <v>Monday</v>
      </c>
      <c r="F175" s="12">
        <v>0.29930555555555555</v>
      </c>
      <c r="G175" s="12" t="str">
        <f t="shared" si="8"/>
        <v>7:00 AM – 8:00 AM</v>
      </c>
      <c r="H175" s="8">
        <v>388</v>
      </c>
      <c r="I175" s="8">
        <v>627</v>
      </c>
      <c r="J175" s="8">
        <v>20</v>
      </c>
      <c r="K175" s="8">
        <v>340</v>
      </c>
      <c r="L175" s="8">
        <v>2</v>
      </c>
      <c r="M175" s="8">
        <v>14</v>
      </c>
      <c r="N175" s="8">
        <v>7</v>
      </c>
      <c r="O175" s="8">
        <v>326</v>
      </c>
      <c r="P175" s="8">
        <v>5</v>
      </c>
    </row>
    <row r="176" spans="1:16" x14ac:dyDescent="0.3">
      <c r="A176" s="9" t="s">
        <v>245</v>
      </c>
      <c r="B176" s="9">
        <v>45479</v>
      </c>
      <c r="C176" s="7">
        <v>2024</v>
      </c>
      <c r="D176" s="7" t="str">
        <f t="shared" si="6"/>
        <v>July</v>
      </c>
      <c r="E176" s="7" t="str">
        <f t="shared" si="7"/>
        <v>Saturday</v>
      </c>
      <c r="F176" s="10">
        <v>0.31388888888888888</v>
      </c>
      <c r="G176" s="10" t="str">
        <f t="shared" si="8"/>
        <v>7:00 AM – 8:00 AM</v>
      </c>
      <c r="H176" s="7">
        <v>323</v>
      </c>
      <c r="I176" s="7">
        <v>572</v>
      </c>
      <c r="J176" s="7">
        <v>20</v>
      </c>
      <c r="K176" s="7">
        <v>131</v>
      </c>
      <c r="L176" s="7">
        <v>2</v>
      </c>
      <c r="M176" s="7">
        <v>3</v>
      </c>
      <c r="N176" s="7">
        <v>4</v>
      </c>
      <c r="O176" s="7">
        <v>135</v>
      </c>
      <c r="P176" s="7">
        <v>-1</v>
      </c>
    </row>
    <row r="177" spans="1:16" x14ac:dyDescent="0.3">
      <c r="A177" s="11" t="s">
        <v>255</v>
      </c>
      <c r="B177" s="11">
        <v>45469</v>
      </c>
      <c r="C177" s="8">
        <v>2024</v>
      </c>
      <c r="D177" s="8" t="str">
        <f t="shared" si="6"/>
        <v>June</v>
      </c>
      <c r="E177" s="8" t="str">
        <f t="shared" si="7"/>
        <v>Wednesday</v>
      </c>
      <c r="F177" s="12">
        <v>0.28958333333333336</v>
      </c>
      <c r="G177" s="12" t="str">
        <f t="shared" si="8"/>
        <v>6:00 AM – 7:00 AM</v>
      </c>
      <c r="H177" s="8">
        <v>313</v>
      </c>
      <c r="I177" s="8">
        <v>524</v>
      </c>
      <c r="J177" s="8">
        <v>20</v>
      </c>
      <c r="K177" s="8">
        <v>236</v>
      </c>
      <c r="L177" s="8">
        <v>1</v>
      </c>
      <c r="M177" s="8">
        <v>5</v>
      </c>
      <c r="N177" s="8">
        <v>1</v>
      </c>
      <c r="O177" s="8">
        <v>274</v>
      </c>
      <c r="P177" s="8">
        <v>1</v>
      </c>
    </row>
    <row r="178" spans="1:16" x14ac:dyDescent="0.3">
      <c r="A178" s="9" t="s">
        <v>329</v>
      </c>
      <c r="B178" s="9">
        <v>45395</v>
      </c>
      <c r="C178" s="7">
        <v>2024</v>
      </c>
      <c r="D178" s="7" t="str">
        <f t="shared" si="6"/>
        <v>April</v>
      </c>
      <c r="E178" s="7" t="str">
        <f t="shared" si="7"/>
        <v>Saturday</v>
      </c>
      <c r="F178" s="10">
        <v>0.22291666666666668</v>
      </c>
      <c r="G178" s="10" t="str">
        <f t="shared" si="8"/>
        <v>5:00 AM – 6:00 AM</v>
      </c>
      <c r="H178" s="7">
        <v>239</v>
      </c>
      <c r="I178" s="7">
        <v>396</v>
      </c>
      <c r="J178" s="7">
        <v>20</v>
      </c>
      <c r="K178" s="7">
        <v>262</v>
      </c>
      <c r="L178" s="7">
        <v>1</v>
      </c>
      <c r="M178" s="7">
        <v>12</v>
      </c>
      <c r="N178" s="7">
        <v>8</v>
      </c>
      <c r="O178" s="7">
        <v>303</v>
      </c>
      <c r="P178" s="7">
        <v>9</v>
      </c>
    </row>
    <row r="179" spans="1:16" x14ac:dyDescent="0.3">
      <c r="A179" s="11" t="s">
        <v>349</v>
      </c>
      <c r="B179" s="11">
        <v>45376</v>
      </c>
      <c r="C179" s="8">
        <v>2024</v>
      </c>
      <c r="D179" s="8" t="str">
        <f t="shared" si="6"/>
        <v>March</v>
      </c>
      <c r="E179" s="8" t="str">
        <f t="shared" si="7"/>
        <v>Monday</v>
      </c>
      <c r="F179" s="12">
        <v>0.25416666666666665</v>
      </c>
      <c r="G179" s="12" t="str">
        <f t="shared" si="8"/>
        <v>6:00 AM – 7:00 AM</v>
      </c>
      <c r="H179" s="8">
        <v>219</v>
      </c>
      <c r="I179" s="8">
        <v>173</v>
      </c>
      <c r="J179" s="8">
        <v>20</v>
      </c>
      <c r="K179" s="8">
        <v>292</v>
      </c>
      <c r="L179" s="8">
        <v>1</v>
      </c>
      <c r="M179" s="8">
        <v>2</v>
      </c>
      <c r="N179" s="8">
        <v>1</v>
      </c>
      <c r="O179" s="8">
        <v>288</v>
      </c>
      <c r="P179" s="8">
        <v>10</v>
      </c>
    </row>
    <row r="180" spans="1:16" x14ac:dyDescent="0.3">
      <c r="A180" s="9" t="s">
        <v>408</v>
      </c>
      <c r="B180" s="9">
        <v>45317</v>
      </c>
      <c r="C180" s="7">
        <v>2024</v>
      </c>
      <c r="D180" s="7" t="str">
        <f t="shared" si="6"/>
        <v>January</v>
      </c>
      <c r="E180" s="7" t="str">
        <f t="shared" si="7"/>
        <v>Friday</v>
      </c>
      <c r="F180" s="10">
        <v>0.20902777777777778</v>
      </c>
      <c r="G180" s="10" t="str">
        <f t="shared" si="8"/>
        <v>5:00 AM – 6:00 AM</v>
      </c>
      <c r="H180" s="7">
        <v>160</v>
      </c>
      <c r="I180" s="7">
        <v>120</v>
      </c>
      <c r="J180" s="7">
        <v>20</v>
      </c>
      <c r="K180" s="7">
        <v>142</v>
      </c>
      <c r="L180" s="7">
        <v>1</v>
      </c>
      <c r="M180" s="7">
        <v>0</v>
      </c>
      <c r="N180" s="7">
        <v>0</v>
      </c>
      <c r="O180" s="7">
        <v>147</v>
      </c>
      <c r="P180" s="7">
        <v>2</v>
      </c>
    </row>
    <row r="181" spans="1:16" x14ac:dyDescent="0.3">
      <c r="A181" s="11" t="s">
        <v>129</v>
      </c>
      <c r="B181" s="11">
        <v>45595</v>
      </c>
      <c r="C181" s="8">
        <v>2024</v>
      </c>
      <c r="D181" s="8" t="str">
        <f t="shared" si="6"/>
        <v>October</v>
      </c>
      <c r="E181" s="8" t="str">
        <f t="shared" si="7"/>
        <v>Wednesday</v>
      </c>
      <c r="F181" s="12">
        <v>0.5395833333333333</v>
      </c>
      <c r="G181" s="12" t="str">
        <f t="shared" si="8"/>
        <v>12:00 PM – 1:00 PM</v>
      </c>
      <c r="H181" s="8">
        <v>439</v>
      </c>
      <c r="I181" s="8">
        <v>763</v>
      </c>
      <c r="J181" s="8">
        <v>19</v>
      </c>
      <c r="K181" s="8">
        <v>225</v>
      </c>
      <c r="L181" s="8">
        <v>1</v>
      </c>
      <c r="M181" s="8">
        <v>0</v>
      </c>
      <c r="N181" s="8">
        <v>0</v>
      </c>
      <c r="O181" s="8">
        <v>230</v>
      </c>
      <c r="P181" s="8">
        <v>2</v>
      </c>
    </row>
    <row r="182" spans="1:16" x14ac:dyDescent="0.3">
      <c r="A182" s="9" t="s">
        <v>194</v>
      </c>
      <c r="B182" s="9">
        <v>45530</v>
      </c>
      <c r="C182" s="7">
        <v>2024</v>
      </c>
      <c r="D182" s="7" t="str">
        <f t="shared" si="6"/>
        <v>August</v>
      </c>
      <c r="E182" s="7" t="str">
        <f t="shared" si="7"/>
        <v>Monday</v>
      </c>
      <c r="F182" s="10">
        <v>0.2902777777777778</v>
      </c>
      <c r="G182" s="10" t="str">
        <f t="shared" si="8"/>
        <v>6:00 AM – 7:00 AM</v>
      </c>
      <c r="H182" s="7">
        <v>374</v>
      </c>
      <c r="I182" s="7">
        <v>580</v>
      </c>
      <c r="J182" s="7">
        <v>19</v>
      </c>
      <c r="K182" s="7">
        <v>446</v>
      </c>
      <c r="L182" s="7">
        <v>3</v>
      </c>
      <c r="M182" s="7">
        <v>1</v>
      </c>
      <c r="N182" s="7">
        <v>17</v>
      </c>
      <c r="O182" s="7">
        <v>496</v>
      </c>
      <c r="P182" s="7">
        <v>4</v>
      </c>
    </row>
    <row r="183" spans="1:16" x14ac:dyDescent="0.3">
      <c r="A183" s="11" t="s">
        <v>222</v>
      </c>
      <c r="B183" s="11">
        <v>45502</v>
      </c>
      <c r="C183" s="8">
        <v>2024</v>
      </c>
      <c r="D183" s="8" t="str">
        <f t="shared" si="6"/>
        <v>July</v>
      </c>
      <c r="E183" s="8" t="str">
        <f t="shared" si="7"/>
        <v>Monday</v>
      </c>
      <c r="F183" s="12">
        <v>0.29097222222222224</v>
      </c>
      <c r="G183" s="12" t="str">
        <f t="shared" si="8"/>
        <v>6:00 AM – 7:00 AM</v>
      </c>
      <c r="H183" s="8">
        <v>346</v>
      </c>
      <c r="I183" s="8">
        <v>567</v>
      </c>
      <c r="J183" s="8">
        <v>19</v>
      </c>
      <c r="K183" s="8">
        <v>142</v>
      </c>
      <c r="L183" s="8">
        <v>4</v>
      </c>
      <c r="M183" s="8">
        <v>3</v>
      </c>
      <c r="N183" s="8">
        <v>9</v>
      </c>
      <c r="O183" s="8">
        <v>164</v>
      </c>
      <c r="P183" s="8">
        <v>0</v>
      </c>
    </row>
    <row r="184" spans="1:16" x14ac:dyDescent="0.3">
      <c r="A184" s="9" t="s">
        <v>262</v>
      </c>
      <c r="B184" s="9">
        <v>45462</v>
      </c>
      <c r="C184" s="7">
        <v>2024</v>
      </c>
      <c r="D184" s="7" t="str">
        <f t="shared" si="6"/>
        <v>June</v>
      </c>
      <c r="E184" s="7" t="str">
        <f t="shared" si="7"/>
        <v>Wednesday</v>
      </c>
      <c r="F184" s="10">
        <v>0.34791666666666665</v>
      </c>
      <c r="G184" s="10" t="str">
        <f t="shared" si="8"/>
        <v>8:00 AM – 9:00 AM</v>
      </c>
      <c r="H184" s="7">
        <v>306</v>
      </c>
      <c r="I184" s="7">
        <v>523</v>
      </c>
      <c r="J184" s="7">
        <v>19</v>
      </c>
      <c r="K184" s="7">
        <v>137</v>
      </c>
      <c r="L184" s="7">
        <v>1</v>
      </c>
      <c r="M184" s="7">
        <v>2</v>
      </c>
      <c r="N184" s="7">
        <v>3</v>
      </c>
      <c r="O184" s="7">
        <v>157</v>
      </c>
      <c r="P184" s="7">
        <v>2</v>
      </c>
    </row>
    <row r="185" spans="1:16" x14ac:dyDescent="0.3">
      <c r="A185" s="11" t="s">
        <v>293</v>
      </c>
      <c r="B185" s="11">
        <v>45431</v>
      </c>
      <c r="C185" s="8">
        <v>2024</v>
      </c>
      <c r="D185" s="8" t="str">
        <f t="shared" si="6"/>
        <v>May</v>
      </c>
      <c r="E185" s="8" t="str">
        <f t="shared" si="7"/>
        <v>Sunday</v>
      </c>
      <c r="F185" s="12">
        <v>0.20277777777777778</v>
      </c>
      <c r="G185" s="12" t="str">
        <f t="shared" si="8"/>
        <v>4:00 AM – 5:00 AM</v>
      </c>
      <c r="H185" s="8">
        <v>275</v>
      </c>
      <c r="I185" s="8">
        <v>495</v>
      </c>
      <c r="J185" s="8">
        <v>19</v>
      </c>
      <c r="K185" s="8">
        <v>149</v>
      </c>
      <c r="L185" s="8">
        <v>1</v>
      </c>
      <c r="M185" s="8">
        <v>3</v>
      </c>
      <c r="N185" s="8">
        <v>7</v>
      </c>
      <c r="O185" s="8">
        <v>164</v>
      </c>
      <c r="P185" s="8">
        <v>0</v>
      </c>
    </row>
    <row r="186" spans="1:16" x14ac:dyDescent="0.3">
      <c r="A186" s="9" t="s">
        <v>314</v>
      </c>
      <c r="B186" s="9">
        <v>45410</v>
      </c>
      <c r="C186" s="7">
        <v>2024</v>
      </c>
      <c r="D186" s="7" t="str">
        <f t="shared" si="6"/>
        <v>April</v>
      </c>
      <c r="E186" s="7" t="str">
        <f t="shared" si="7"/>
        <v>Sunday</v>
      </c>
      <c r="F186" s="10">
        <v>0.27847222222222223</v>
      </c>
      <c r="G186" s="10" t="str">
        <f t="shared" si="8"/>
        <v>6:00 AM – 7:00 AM</v>
      </c>
      <c r="H186" s="7">
        <v>254</v>
      </c>
      <c r="I186" s="7">
        <v>461</v>
      </c>
      <c r="J186" s="7">
        <v>19</v>
      </c>
      <c r="K186" s="7">
        <v>697</v>
      </c>
      <c r="L186" s="7">
        <v>1</v>
      </c>
      <c r="M186" s="7">
        <v>7</v>
      </c>
      <c r="N186" s="7">
        <v>6</v>
      </c>
      <c r="O186" s="7">
        <v>714</v>
      </c>
      <c r="P186" s="7">
        <v>4</v>
      </c>
    </row>
    <row r="187" spans="1:16" x14ac:dyDescent="0.3">
      <c r="A187" s="11" t="s">
        <v>320</v>
      </c>
      <c r="B187" s="11">
        <v>45404</v>
      </c>
      <c r="C187" s="8">
        <v>2024</v>
      </c>
      <c r="D187" s="8" t="str">
        <f t="shared" si="6"/>
        <v>April</v>
      </c>
      <c r="E187" s="8" t="str">
        <f t="shared" si="7"/>
        <v>Monday</v>
      </c>
      <c r="F187" s="12">
        <v>0.34861111111111109</v>
      </c>
      <c r="G187" s="12" t="str">
        <f t="shared" si="8"/>
        <v>8:00 AM – 9:00 AM</v>
      </c>
      <c r="H187" s="8">
        <v>248</v>
      </c>
      <c r="I187" s="8">
        <v>450</v>
      </c>
      <c r="J187" s="8">
        <v>19</v>
      </c>
      <c r="K187" s="8">
        <v>254</v>
      </c>
      <c r="L187" s="8">
        <v>4</v>
      </c>
      <c r="M187" s="8">
        <v>4</v>
      </c>
      <c r="N187" s="8">
        <v>2</v>
      </c>
      <c r="O187" s="8">
        <v>264</v>
      </c>
      <c r="P187" s="8">
        <v>-1</v>
      </c>
    </row>
    <row r="188" spans="1:16" x14ac:dyDescent="0.3">
      <c r="A188" s="9" t="s">
        <v>457</v>
      </c>
      <c r="B188" s="9">
        <v>45269</v>
      </c>
      <c r="C188" s="7">
        <v>2023</v>
      </c>
      <c r="D188" s="7" t="str">
        <f t="shared" si="6"/>
        <v>December</v>
      </c>
      <c r="E188" s="7" t="str">
        <f t="shared" si="7"/>
        <v>Saturday</v>
      </c>
      <c r="F188" s="10">
        <v>0.13125000000000001</v>
      </c>
      <c r="G188" s="10" t="str">
        <f t="shared" si="8"/>
        <v>3:00 AM – 4:00 AM</v>
      </c>
      <c r="H188" s="7">
        <v>109</v>
      </c>
      <c r="I188" s="7">
        <v>29</v>
      </c>
      <c r="J188" s="7">
        <v>19</v>
      </c>
      <c r="K188" s="7">
        <v>150</v>
      </c>
      <c r="L188" s="7">
        <v>2</v>
      </c>
      <c r="M188" s="7">
        <v>0</v>
      </c>
      <c r="N188" s="7">
        <v>0</v>
      </c>
      <c r="O188" s="7">
        <v>149</v>
      </c>
      <c r="P188" s="7">
        <v>0</v>
      </c>
    </row>
    <row r="189" spans="1:16" x14ac:dyDescent="0.3">
      <c r="A189" s="11" t="s">
        <v>484</v>
      </c>
      <c r="B189" s="11">
        <v>45243</v>
      </c>
      <c r="C189" s="8">
        <v>2023</v>
      </c>
      <c r="D189" s="8" t="str">
        <f t="shared" si="6"/>
        <v>November</v>
      </c>
      <c r="E189" s="8" t="str">
        <f t="shared" si="7"/>
        <v>Monday</v>
      </c>
      <c r="F189" s="12">
        <v>0.10347222222222222</v>
      </c>
      <c r="G189" s="12" t="str">
        <f t="shared" si="8"/>
        <v>2:00 AM – 3:00 AM</v>
      </c>
      <c r="H189" s="8">
        <v>82</v>
      </c>
      <c r="I189" s="8">
        <v>24</v>
      </c>
      <c r="J189" s="8">
        <v>19</v>
      </c>
      <c r="K189" s="8">
        <v>218</v>
      </c>
      <c r="L189" s="8">
        <v>0</v>
      </c>
      <c r="M189" s="8">
        <v>2</v>
      </c>
      <c r="N189" s="8">
        <v>0</v>
      </c>
      <c r="O189" s="8">
        <v>222</v>
      </c>
      <c r="P189" s="8">
        <v>24</v>
      </c>
    </row>
    <row r="190" spans="1:16" x14ac:dyDescent="0.3">
      <c r="A190" s="9" t="s">
        <v>133</v>
      </c>
      <c r="B190" s="9">
        <v>45591</v>
      </c>
      <c r="C190" s="7">
        <v>2024</v>
      </c>
      <c r="D190" s="7" t="str">
        <f t="shared" si="6"/>
        <v>October</v>
      </c>
      <c r="E190" s="7" t="str">
        <f t="shared" si="7"/>
        <v>Saturday</v>
      </c>
      <c r="F190" s="10">
        <v>0.55555555555555558</v>
      </c>
      <c r="G190" s="10" t="str">
        <f t="shared" si="8"/>
        <v>1:00 PM – 2:00 PM</v>
      </c>
      <c r="H190" s="7">
        <v>435</v>
      </c>
      <c r="I190" s="7">
        <v>760</v>
      </c>
      <c r="J190" s="7">
        <v>18</v>
      </c>
      <c r="K190" s="7">
        <v>214</v>
      </c>
      <c r="L190" s="7">
        <v>1</v>
      </c>
      <c r="M190" s="7">
        <v>3</v>
      </c>
      <c r="N190" s="7">
        <v>6</v>
      </c>
      <c r="O190" s="7">
        <v>217</v>
      </c>
      <c r="P190" s="7">
        <v>3</v>
      </c>
    </row>
    <row r="191" spans="1:16" x14ac:dyDescent="0.3">
      <c r="A191" s="11" t="s">
        <v>229</v>
      </c>
      <c r="B191" s="11">
        <v>45495</v>
      </c>
      <c r="C191" s="8">
        <v>2024</v>
      </c>
      <c r="D191" s="8" t="str">
        <f t="shared" si="6"/>
        <v>July</v>
      </c>
      <c r="E191" s="8" t="str">
        <f t="shared" si="7"/>
        <v>Monday</v>
      </c>
      <c r="F191" s="12">
        <v>0.28333333333333333</v>
      </c>
      <c r="G191" s="12" t="str">
        <f t="shared" si="8"/>
        <v>6:00 AM – 7:00 AM</v>
      </c>
      <c r="H191" s="8">
        <v>339</v>
      </c>
      <c r="I191" s="8">
        <v>568</v>
      </c>
      <c r="J191" s="8">
        <v>18</v>
      </c>
      <c r="K191" s="8">
        <v>271</v>
      </c>
      <c r="L191" s="8">
        <v>4</v>
      </c>
      <c r="M191" s="8">
        <v>1</v>
      </c>
      <c r="N191" s="8">
        <v>1</v>
      </c>
      <c r="O191" s="8">
        <v>278</v>
      </c>
      <c r="P191" s="8">
        <v>-1</v>
      </c>
    </row>
    <row r="192" spans="1:16" x14ac:dyDescent="0.3">
      <c r="A192" s="9" t="s">
        <v>238</v>
      </c>
      <c r="B192" s="9">
        <v>45486</v>
      </c>
      <c r="C192" s="7">
        <v>2024</v>
      </c>
      <c r="D192" s="7" t="str">
        <f t="shared" si="6"/>
        <v>July</v>
      </c>
      <c r="E192" s="7" t="str">
        <f t="shared" si="7"/>
        <v>Saturday</v>
      </c>
      <c r="F192" s="10">
        <v>0.29097222222222224</v>
      </c>
      <c r="G192" s="10" t="str">
        <f t="shared" si="8"/>
        <v>6:00 AM – 7:00 AM</v>
      </c>
      <c r="H192" s="7">
        <v>330</v>
      </c>
      <c r="I192" s="7">
        <v>572</v>
      </c>
      <c r="J192" s="7">
        <v>18</v>
      </c>
      <c r="K192" s="7">
        <v>334</v>
      </c>
      <c r="L192" s="7">
        <v>1</v>
      </c>
      <c r="M192" s="7">
        <v>4</v>
      </c>
      <c r="N192" s="7">
        <v>4</v>
      </c>
      <c r="O192" s="7">
        <v>298</v>
      </c>
      <c r="P192" s="7">
        <v>1</v>
      </c>
    </row>
    <row r="193" spans="1:16" x14ac:dyDescent="0.3">
      <c r="A193" s="11" t="s">
        <v>249</v>
      </c>
      <c r="B193" s="11">
        <v>45475</v>
      </c>
      <c r="C193" s="8">
        <v>2024</v>
      </c>
      <c r="D193" s="8" t="str">
        <f t="shared" si="6"/>
        <v>July</v>
      </c>
      <c r="E193" s="8" t="str">
        <f t="shared" si="7"/>
        <v>Tuesday</v>
      </c>
      <c r="F193" s="12">
        <v>0.35069444444444442</v>
      </c>
      <c r="G193" s="12" t="str">
        <f t="shared" si="8"/>
        <v>8:00 AM – 9:00 AM</v>
      </c>
      <c r="H193" s="8">
        <v>319</v>
      </c>
      <c r="I193" s="8">
        <v>557</v>
      </c>
      <c r="J193" s="8">
        <v>18</v>
      </c>
      <c r="K193" s="8">
        <v>168</v>
      </c>
      <c r="L193" s="8">
        <v>2</v>
      </c>
      <c r="M193" s="8">
        <v>0</v>
      </c>
      <c r="N193" s="8">
        <v>6</v>
      </c>
      <c r="O193" s="8">
        <v>181</v>
      </c>
      <c r="P193" s="8">
        <v>4</v>
      </c>
    </row>
    <row r="194" spans="1:16" x14ac:dyDescent="0.3">
      <c r="A194" s="9" t="s">
        <v>51</v>
      </c>
      <c r="B194" s="9">
        <v>45673</v>
      </c>
      <c r="C194" s="7">
        <v>2025</v>
      </c>
      <c r="D194" s="7" t="str">
        <f t="shared" ref="D194:D257" si="9">TEXT(B194,"MMMM")</f>
        <v>January</v>
      </c>
      <c r="E194" s="7" t="str">
        <f t="shared" ref="E194:E257" si="10">TEXT(B194,"dddd")</f>
        <v>Thursday</v>
      </c>
      <c r="F194" s="10">
        <v>0.6118055555555556</v>
      </c>
      <c r="G194" s="10" t="str">
        <f t="shared" ref="G194:G257" si="11">TEXT(FLOOR(F194,"1:00"),"h:mm AM/PM") &amp; " – " &amp; TEXT(FLOOR(F194,"1:00") + TIME(1,0,0),"h:mm AM/PM")</f>
        <v>2:00 PM – 3:00 PM</v>
      </c>
      <c r="H194" s="7">
        <v>517</v>
      </c>
      <c r="I194" s="7">
        <v>1274</v>
      </c>
      <c r="J194" s="7">
        <v>17</v>
      </c>
      <c r="K194" s="7">
        <v>431</v>
      </c>
      <c r="L194" s="7">
        <v>1</v>
      </c>
      <c r="M194" s="7">
        <v>4</v>
      </c>
      <c r="N194" s="7">
        <v>8</v>
      </c>
      <c r="O194" s="7">
        <v>447</v>
      </c>
      <c r="P194" s="7">
        <v>0</v>
      </c>
    </row>
    <row r="195" spans="1:16" x14ac:dyDescent="0.3">
      <c r="A195" s="11" t="s">
        <v>64</v>
      </c>
      <c r="B195" s="11">
        <v>45660</v>
      </c>
      <c r="C195" s="8">
        <v>2025</v>
      </c>
      <c r="D195" s="8" t="str">
        <f t="shared" si="9"/>
        <v>January</v>
      </c>
      <c r="E195" s="8" t="str">
        <f t="shared" si="10"/>
        <v>Friday</v>
      </c>
      <c r="F195" s="12">
        <v>0.58888888888888891</v>
      </c>
      <c r="G195" s="12" t="str">
        <f t="shared" si="11"/>
        <v>2:00 PM – 3:00 PM</v>
      </c>
      <c r="H195" s="8">
        <v>504</v>
      </c>
      <c r="I195" s="8">
        <v>1220</v>
      </c>
      <c r="J195" s="8">
        <v>17</v>
      </c>
      <c r="K195" s="8">
        <v>481</v>
      </c>
      <c r="L195" s="8">
        <v>1</v>
      </c>
      <c r="M195" s="8">
        <v>0</v>
      </c>
      <c r="N195" s="8">
        <v>3</v>
      </c>
      <c r="O195" s="8">
        <v>467</v>
      </c>
      <c r="P195" s="8">
        <v>139</v>
      </c>
    </row>
    <row r="196" spans="1:16" x14ac:dyDescent="0.3">
      <c r="A196" s="9" t="s">
        <v>115</v>
      </c>
      <c r="B196" s="9">
        <v>45609</v>
      </c>
      <c r="C196" s="7">
        <v>2024</v>
      </c>
      <c r="D196" s="7" t="str">
        <f t="shared" si="9"/>
        <v>November</v>
      </c>
      <c r="E196" s="7" t="str">
        <f t="shared" si="10"/>
        <v>Wednesday</v>
      </c>
      <c r="F196" s="10">
        <v>0.53819444444444442</v>
      </c>
      <c r="G196" s="10" t="str">
        <f t="shared" si="11"/>
        <v>12:00 PM – 1:00 PM</v>
      </c>
      <c r="H196" s="7">
        <v>453</v>
      </c>
      <c r="I196" s="7">
        <v>778</v>
      </c>
      <c r="J196" s="7">
        <v>17</v>
      </c>
      <c r="K196" s="7">
        <v>323</v>
      </c>
      <c r="L196" s="7">
        <v>1</v>
      </c>
      <c r="M196" s="7">
        <v>2</v>
      </c>
      <c r="N196" s="7">
        <v>0</v>
      </c>
      <c r="O196" s="7">
        <v>324</v>
      </c>
      <c r="P196" s="7">
        <v>2</v>
      </c>
    </row>
    <row r="197" spans="1:16" x14ac:dyDescent="0.3">
      <c r="A197" s="11" t="s">
        <v>195</v>
      </c>
      <c r="B197" s="11">
        <v>45529</v>
      </c>
      <c r="C197" s="8">
        <v>2024</v>
      </c>
      <c r="D197" s="8" t="str">
        <f t="shared" si="9"/>
        <v>August</v>
      </c>
      <c r="E197" s="8" t="str">
        <f t="shared" si="10"/>
        <v>Sunday</v>
      </c>
      <c r="F197" s="12">
        <v>0.28611111111111109</v>
      </c>
      <c r="G197" s="12" t="str">
        <f t="shared" si="11"/>
        <v>6:00 AM – 7:00 AM</v>
      </c>
      <c r="H197" s="8">
        <v>373</v>
      </c>
      <c r="I197" s="8">
        <v>576</v>
      </c>
      <c r="J197" s="8">
        <v>17</v>
      </c>
      <c r="K197" s="8">
        <v>188</v>
      </c>
      <c r="L197" s="8">
        <v>1</v>
      </c>
      <c r="M197" s="8">
        <v>0</v>
      </c>
      <c r="N197" s="8">
        <v>2</v>
      </c>
      <c r="O197" s="8">
        <v>193</v>
      </c>
      <c r="P197" s="8">
        <v>2</v>
      </c>
    </row>
    <row r="198" spans="1:16" x14ac:dyDescent="0.3">
      <c r="A198" s="9" t="s">
        <v>343</v>
      </c>
      <c r="B198" s="9">
        <v>45381</v>
      </c>
      <c r="C198" s="7">
        <v>2024</v>
      </c>
      <c r="D198" s="7" t="str">
        <f t="shared" si="9"/>
        <v>March</v>
      </c>
      <c r="E198" s="7" t="str">
        <f t="shared" si="10"/>
        <v>Saturday</v>
      </c>
      <c r="F198" s="10">
        <v>0.30486111111111114</v>
      </c>
      <c r="G198" s="10" t="str">
        <f t="shared" si="11"/>
        <v>7:00 AM – 8:00 AM</v>
      </c>
      <c r="H198" s="7">
        <v>225</v>
      </c>
      <c r="I198" s="7">
        <v>242</v>
      </c>
      <c r="J198" s="7">
        <v>17</v>
      </c>
      <c r="K198" s="7">
        <v>573</v>
      </c>
      <c r="L198" s="7">
        <v>1</v>
      </c>
      <c r="M198" s="7">
        <v>0</v>
      </c>
      <c r="N198" s="7">
        <v>5</v>
      </c>
      <c r="O198" s="7">
        <v>538</v>
      </c>
      <c r="P198" s="7">
        <v>28</v>
      </c>
    </row>
    <row r="199" spans="1:16" x14ac:dyDescent="0.3">
      <c r="A199" s="11" t="s">
        <v>477</v>
      </c>
      <c r="B199" s="11">
        <v>45249</v>
      </c>
      <c r="C199" s="8">
        <v>2023</v>
      </c>
      <c r="D199" s="8" t="str">
        <f t="shared" si="9"/>
        <v>November</v>
      </c>
      <c r="E199" s="8" t="str">
        <f t="shared" si="10"/>
        <v>Sunday</v>
      </c>
      <c r="F199" s="12">
        <v>0.10416666666666667</v>
      </c>
      <c r="G199" s="12" t="str">
        <f t="shared" si="11"/>
        <v>2:00 AM – 3:00 AM</v>
      </c>
      <c r="H199" s="8">
        <v>89</v>
      </c>
      <c r="I199" s="8">
        <v>27</v>
      </c>
      <c r="J199" s="8">
        <v>17</v>
      </c>
      <c r="K199" s="8">
        <v>163</v>
      </c>
      <c r="L199" s="8">
        <v>1</v>
      </c>
      <c r="M199" s="8">
        <v>0</v>
      </c>
      <c r="N199" s="8">
        <v>1</v>
      </c>
      <c r="O199" s="8">
        <v>162</v>
      </c>
      <c r="P199" s="8">
        <v>0</v>
      </c>
    </row>
    <row r="200" spans="1:16" x14ac:dyDescent="0.3">
      <c r="A200" s="9" t="s">
        <v>63</v>
      </c>
      <c r="B200" s="9">
        <v>45661</v>
      </c>
      <c r="C200" s="7">
        <v>2025</v>
      </c>
      <c r="D200" s="7" t="str">
        <f t="shared" si="9"/>
        <v>January</v>
      </c>
      <c r="E200" s="7" t="str">
        <f t="shared" si="10"/>
        <v>Saturday</v>
      </c>
      <c r="F200" s="10">
        <v>0.30416666666666664</v>
      </c>
      <c r="G200" s="10" t="str">
        <f t="shared" si="11"/>
        <v>7:00 AM – 8:00 AM</v>
      </c>
      <c r="H200" s="7">
        <v>505</v>
      </c>
      <c r="I200" s="7">
        <v>1230</v>
      </c>
      <c r="J200" s="7">
        <v>16</v>
      </c>
      <c r="K200" s="7">
        <v>503</v>
      </c>
      <c r="L200" s="7">
        <v>1</v>
      </c>
      <c r="M200" s="7">
        <v>8</v>
      </c>
      <c r="N200" s="7">
        <v>2</v>
      </c>
      <c r="O200" s="7">
        <v>495</v>
      </c>
      <c r="P200" s="7">
        <v>10</v>
      </c>
    </row>
    <row r="201" spans="1:16" x14ac:dyDescent="0.3">
      <c r="A201" s="11" t="s">
        <v>190</v>
      </c>
      <c r="B201" s="11">
        <v>45534</v>
      </c>
      <c r="C201" s="8">
        <v>2024</v>
      </c>
      <c r="D201" s="8" t="str">
        <f t="shared" si="9"/>
        <v>August</v>
      </c>
      <c r="E201" s="8" t="str">
        <f t="shared" si="10"/>
        <v>Friday</v>
      </c>
      <c r="F201" s="12">
        <v>0.27847222222222223</v>
      </c>
      <c r="G201" s="12" t="str">
        <f t="shared" si="11"/>
        <v>6:00 AM – 7:00 AM</v>
      </c>
      <c r="H201" s="8">
        <v>378</v>
      </c>
      <c r="I201" s="8">
        <v>587</v>
      </c>
      <c r="J201" s="8">
        <v>16</v>
      </c>
      <c r="K201" s="8">
        <v>153</v>
      </c>
      <c r="L201" s="8">
        <v>1</v>
      </c>
      <c r="M201" s="8">
        <v>6</v>
      </c>
      <c r="N201" s="8">
        <v>2</v>
      </c>
      <c r="O201" s="8">
        <v>157</v>
      </c>
      <c r="P201" s="8">
        <v>0</v>
      </c>
    </row>
    <row r="202" spans="1:16" x14ac:dyDescent="0.3">
      <c r="A202" s="9" t="s">
        <v>252</v>
      </c>
      <c r="B202" s="9">
        <v>45472</v>
      </c>
      <c r="C202" s="7">
        <v>2024</v>
      </c>
      <c r="D202" s="7" t="str">
        <f t="shared" si="9"/>
        <v>June</v>
      </c>
      <c r="E202" s="7" t="str">
        <f t="shared" si="10"/>
        <v>Saturday</v>
      </c>
      <c r="F202" s="10">
        <v>0.27500000000000002</v>
      </c>
      <c r="G202" s="10" t="str">
        <f t="shared" si="11"/>
        <v>6:00 AM – 7:00 AM</v>
      </c>
      <c r="H202" s="7">
        <v>316</v>
      </c>
      <c r="I202" s="7">
        <v>534</v>
      </c>
      <c r="J202" s="7">
        <v>16</v>
      </c>
      <c r="K202" s="7">
        <v>198</v>
      </c>
      <c r="L202" s="7">
        <v>1</v>
      </c>
      <c r="M202" s="7">
        <v>7</v>
      </c>
      <c r="N202" s="7">
        <v>0</v>
      </c>
      <c r="O202" s="7">
        <v>178</v>
      </c>
      <c r="P202" s="7">
        <v>9</v>
      </c>
    </row>
    <row r="203" spans="1:16" x14ac:dyDescent="0.3">
      <c r="A203" s="11" t="s">
        <v>330</v>
      </c>
      <c r="B203" s="11">
        <v>45394</v>
      </c>
      <c r="C203" s="8">
        <v>2024</v>
      </c>
      <c r="D203" s="8" t="str">
        <f t="shared" si="9"/>
        <v>April</v>
      </c>
      <c r="E203" s="8" t="str">
        <f t="shared" si="10"/>
        <v>Friday</v>
      </c>
      <c r="F203" s="12">
        <v>0.20694444444444443</v>
      </c>
      <c r="G203" s="12" t="str">
        <f t="shared" si="11"/>
        <v>4:00 AM – 5:00 AM</v>
      </c>
      <c r="H203" s="8">
        <v>238</v>
      </c>
      <c r="I203" s="8">
        <v>387</v>
      </c>
      <c r="J203" s="8">
        <v>16</v>
      </c>
      <c r="K203" s="8">
        <v>190</v>
      </c>
      <c r="L203" s="8">
        <v>1</v>
      </c>
      <c r="M203" s="8">
        <v>7</v>
      </c>
      <c r="N203" s="8">
        <v>4</v>
      </c>
      <c r="O203" s="8">
        <v>185</v>
      </c>
      <c r="P203" s="8">
        <v>7</v>
      </c>
    </row>
    <row r="204" spans="1:16" x14ac:dyDescent="0.3">
      <c r="A204" s="9" t="s">
        <v>108</v>
      </c>
      <c r="B204" s="9">
        <v>45616</v>
      </c>
      <c r="C204" s="7">
        <v>2024</v>
      </c>
      <c r="D204" s="7" t="str">
        <f t="shared" si="9"/>
        <v>November</v>
      </c>
      <c r="E204" s="7" t="str">
        <f t="shared" si="10"/>
        <v>Wednesday</v>
      </c>
      <c r="F204" s="10">
        <v>0.53194444444444444</v>
      </c>
      <c r="G204" s="10" t="str">
        <f t="shared" si="11"/>
        <v>12:00 PM – 1:00 PM</v>
      </c>
      <c r="H204" s="7">
        <v>460</v>
      </c>
      <c r="I204" s="7">
        <v>773</v>
      </c>
      <c r="J204" s="7">
        <v>15</v>
      </c>
      <c r="K204" s="7">
        <v>326</v>
      </c>
      <c r="L204" s="7">
        <v>1</v>
      </c>
      <c r="M204" s="7">
        <v>0</v>
      </c>
      <c r="N204" s="7">
        <v>0</v>
      </c>
      <c r="O204" s="7">
        <v>320</v>
      </c>
      <c r="P204" s="7">
        <v>1</v>
      </c>
    </row>
    <row r="205" spans="1:16" x14ac:dyDescent="0.3">
      <c r="A205" s="11" t="s">
        <v>142</v>
      </c>
      <c r="B205" s="11">
        <v>45582</v>
      </c>
      <c r="C205" s="8">
        <v>2024</v>
      </c>
      <c r="D205" s="8" t="str">
        <f t="shared" si="9"/>
        <v>October</v>
      </c>
      <c r="E205" s="8" t="str">
        <f t="shared" si="10"/>
        <v>Thursday</v>
      </c>
      <c r="F205" s="12">
        <v>0.62638888888888888</v>
      </c>
      <c r="G205" s="12" t="str">
        <f t="shared" si="11"/>
        <v>3:00 PM – 4:00 PM</v>
      </c>
      <c r="H205" s="8">
        <v>426</v>
      </c>
      <c r="I205" s="8">
        <v>748</v>
      </c>
      <c r="J205" s="8">
        <v>15</v>
      </c>
      <c r="K205" s="8">
        <v>257</v>
      </c>
      <c r="L205" s="8">
        <v>1</v>
      </c>
      <c r="M205" s="8">
        <v>3</v>
      </c>
      <c r="N205" s="8">
        <v>3</v>
      </c>
      <c r="O205" s="8">
        <v>258</v>
      </c>
      <c r="P205" s="8">
        <v>5</v>
      </c>
    </row>
    <row r="206" spans="1:16" x14ac:dyDescent="0.3">
      <c r="A206" s="9" t="s">
        <v>146</v>
      </c>
      <c r="B206" s="9">
        <v>45578</v>
      </c>
      <c r="C206" s="7">
        <v>2024</v>
      </c>
      <c r="D206" s="7" t="str">
        <f t="shared" si="9"/>
        <v>October</v>
      </c>
      <c r="E206" s="7" t="str">
        <f t="shared" si="10"/>
        <v>Sunday</v>
      </c>
      <c r="F206" s="10">
        <v>0.46736111111111112</v>
      </c>
      <c r="G206" s="10" t="str">
        <f t="shared" si="11"/>
        <v>11:00 AM – 12:00 PM</v>
      </c>
      <c r="H206" s="7">
        <v>422</v>
      </c>
      <c r="I206" s="7">
        <v>740</v>
      </c>
      <c r="J206" s="7">
        <v>15</v>
      </c>
      <c r="K206" s="7">
        <v>471</v>
      </c>
      <c r="L206" s="7">
        <v>1</v>
      </c>
      <c r="M206" s="7">
        <v>3</v>
      </c>
      <c r="N206" s="7">
        <v>3</v>
      </c>
      <c r="O206" s="7">
        <v>465</v>
      </c>
      <c r="P206" s="7">
        <v>0</v>
      </c>
    </row>
    <row r="207" spans="1:16" x14ac:dyDescent="0.3">
      <c r="A207" s="11" t="s">
        <v>159</v>
      </c>
      <c r="B207" s="11">
        <v>45565</v>
      </c>
      <c r="C207" s="8">
        <v>2024</v>
      </c>
      <c r="D207" s="8" t="str">
        <f t="shared" si="9"/>
        <v>September</v>
      </c>
      <c r="E207" s="8" t="str">
        <f t="shared" si="10"/>
        <v>Monday</v>
      </c>
      <c r="F207" s="12">
        <v>0.30416666666666664</v>
      </c>
      <c r="G207" s="12" t="str">
        <f t="shared" si="11"/>
        <v>7:00 AM – 8:00 AM</v>
      </c>
      <c r="H207" s="8">
        <v>409</v>
      </c>
      <c r="I207" s="8">
        <v>690</v>
      </c>
      <c r="J207" s="8">
        <v>15</v>
      </c>
      <c r="K207" s="8">
        <v>202</v>
      </c>
      <c r="L207" s="8">
        <v>2</v>
      </c>
      <c r="M207" s="8">
        <v>2</v>
      </c>
      <c r="N207" s="8">
        <v>5</v>
      </c>
      <c r="O207" s="8">
        <v>212</v>
      </c>
      <c r="P207" s="8">
        <v>2</v>
      </c>
    </row>
    <row r="208" spans="1:16" x14ac:dyDescent="0.3">
      <c r="A208" s="9" t="s">
        <v>427</v>
      </c>
      <c r="B208" s="9">
        <v>45298</v>
      </c>
      <c r="C208" s="7">
        <v>2024</v>
      </c>
      <c r="D208" s="7" t="str">
        <f t="shared" si="9"/>
        <v>January</v>
      </c>
      <c r="E208" s="7" t="str">
        <f t="shared" si="10"/>
        <v>Sunday</v>
      </c>
      <c r="F208" s="10">
        <v>0.20555555555555555</v>
      </c>
      <c r="G208" s="10" t="str">
        <f t="shared" si="11"/>
        <v>4:00 AM – 5:00 AM</v>
      </c>
      <c r="H208" s="7">
        <v>141</v>
      </c>
      <c r="I208" s="7">
        <v>64</v>
      </c>
      <c r="J208" s="7">
        <v>15</v>
      </c>
      <c r="K208" s="7">
        <v>175</v>
      </c>
      <c r="L208" s="7">
        <v>1</v>
      </c>
      <c r="M208" s="7">
        <v>0</v>
      </c>
      <c r="N208" s="7">
        <v>1</v>
      </c>
      <c r="O208" s="7">
        <v>174</v>
      </c>
      <c r="P208" s="7">
        <v>1</v>
      </c>
    </row>
    <row r="209" spans="1:16" x14ac:dyDescent="0.3">
      <c r="A209" s="11" t="s">
        <v>50</v>
      </c>
      <c r="B209" s="11">
        <v>45674</v>
      </c>
      <c r="C209" s="8">
        <v>2025</v>
      </c>
      <c r="D209" s="8" t="str">
        <f t="shared" si="9"/>
        <v>January</v>
      </c>
      <c r="E209" s="8" t="str">
        <f t="shared" si="10"/>
        <v>Friday</v>
      </c>
      <c r="F209" s="12">
        <v>0.56388888888888888</v>
      </c>
      <c r="G209" s="12" t="str">
        <f t="shared" si="11"/>
        <v>1:00 PM – 2:00 PM</v>
      </c>
      <c r="H209" s="8">
        <v>518</v>
      </c>
      <c r="I209" s="8">
        <v>1276</v>
      </c>
      <c r="J209" s="8">
        <v>14</v>
      </c>
      <c r="K209" s="8">
        <v>435</v>
      </c>
      <c r="L209" s="8">
        <v>1</v>
      </c>
      <c r="M209" s="8">
        <v>2</v>
      </c>
      <c r="N209" s="8">
        <v>7</v>
      </c>
      <c r="O209" s="8">
        <v>433</v>
      </c>
      <c r="P209" s="8">
        <v>2</v>
      </c>
    </row>
    <row r="210" spans="1:16" x14ac:dyDescent="0.3">
      <c r="A210" s="9" t="s">
        <v>183</v>
      </c>
      <c r="B210" s="9">
        <v>45541</v>
      </c>
      <c r="C210" s="7">
        <v>2024</v>
      </c>
      <c r="D210" s="7" t="str">
        <f t="shared" si="9"/>
        <v>September</v>
      </c>
      <c r="E210" s="7" t="str">
        <f t="shared" si="10"/>
        <v>Friday</v>
      </c>
      <c r="F210" s="10">
        <v>0.28888888888888886</v>
      </c>
      <c r="G210" s="10" t="str">
        <f t="shared" si="11"/>
        <v>6:00 AM – 7:00 AM</v>
      </c>
      <c r="H210" s="7">
        <v>385</v>
      </c>
      <c r="I210" s="7">
        <v>614</v>
      </c>
      <c r="J210" s="7">
        <v>14</v>
      </c>
      <c r="K210" s="7">
        <v>195</v>
      </c>
      <c r="L210" s="7">
        <v>1</v>
      </c>
      <c r="M210" s="7">
        <v>1</v>
      </c>
      <c r="N210" s="7">
        <v>2</v>
      </c>
      <c r="O210" s="7">
        <v>190</v>
      </c>
      <c r="P210" s="7">
        <v>4</v>
      </c>
    </row>
    <row r="211" spans="1:16" x14ac:dyDescent="0.3">
      <c r="A211" s="11" t="s">
        <v>297</v>
      </c>
      <c r="B211" s="11">
        <v>45427</v>
      </c>
      <c r="C211" s="8">
        <v>2024</v>
      </c>
      <c r="D211" s="8" t="str">
        <f t="shared" si="9"/>
        <v>May</v>
      </c>
      <c r="E211" s="8" t="str">
        <f t="shared" si="10"/>
        <v>Wednesday</v>
      </c>
      <c r="F211" s="12">
        <v>0.28680555555555554</v>
      </c>
      <c r="G211" s="12" t="str">
        <f t="shared" si="11"/>
        <v>6:00 AM – 7:00 AM</v>
      </c>
      <c r="H211" s="8">
        <v>271</v>
      </c>
      <c r="I211" s="8">
        <v>493</v>
      </c>
      <c r="J211" s="8">
        <v>14</v>
      </c>
      <c r="K211" s="8">
        <v>164</v>
      </c>
      <c r="L211" s="8">
        <v>8</v>
      </c>
      <c r="M211" s="8">
        <v>5</v>
      </c>
      <c r="N211" s="8">
        <v>4</v>
      </c>
      <c r="O211" s="8">
        <v>187</v>
      </c>
      <c r="P211" s="8">
        <v>1</v>
      </c>
    </row>
    <row r="212" spans="1:16" x14ac:dyDescent="0.3">
      <c r="A212" s="9" t="s">
        <v>306</v>
      </c>
      <c r="B212" s="9">
        <v>45418</v>
      </c>
      <c r="C212" s="7">
        <v>2024</v>
      </c>
      <c r="D212" s="7" t="str">
        <f t="shared" si="9"/>
        <v>May</v>
      </c>
      <c r="E212" s="7" t="str">
        <f t="shared" si="10"/>
        <v>Monday</v>
      </c>
      <c r="F212" s="10">
        <v>0.21527777777777779</v>
      </c>
      <c r="G212" s="10" t="str">
        <f t="shared" si="11"/>
        <v>5:00 AM – 6:00 AM</v>
      </c>
      <c r="H212" s="7">
        <v>262</v>
      </c>
      <c r="I212" s="7">
        <v>473</v>
      </c>
      <c r="J212" s="7">
        <v>14</v>
      </c>
      <c r="K212" s="7">
        <v>541</v>
      </c>
      <c r="L212" s="7">
        <v>2</v>
      </c>
      <c r="M212" s="7">
        <v>1</v>
      </c>
      <c r="N212" s="7">
        <v>1</v>
      </c>
      <c r="O212" s="7">
        <v>594</v>
      </c>
      <c r="P212" s="7">
        <v>-1</v>
      </c>
    </row>
    <row r="213" spans="1:16" x14ac:dyDescent="0.3">
      <c r="A213" s="11" t="s">
        <v>332</v>
      </c>
      <c r="B213" s="11">
        <v>45392</v>
      </c>
      <c r="C213" s="8">
        <v>2024</v>
      </c>
      <c r="D213" s="8" t="str">
        <f t="shared" si="9"/>
        <v>April</v>
      </c>
      <c r="E213" s="8" t="str">
        <f t="shared" si="10"/>
        <v>Wednesday</v>
      </c>
      <c r="F213" s="12">
        <v>0.27569444444444446</v>
      </c>
      <c r="G213" s="12" t="str">
        <f t="shared" si="11"/>
        <v>6:00 AM – 7:00 AM</v>
      </c>
      <c r="H213" s="8">
        <v>236</v>
      </c>
      <c r="I213" s="8">
        <v>369</v>
      </c>
      <c r="J213" s="8">
        <v>14</v>
      </c>
      <c r="K213" s="8">
        <v>252</v>
      </c>
      <c r="L213" s="8">
        <v>2</v>
      </c>
      <c r="M213" s="8">
        <v>4</v>
      </c>
      <c r="N213" s="8">
        <v>5</v>
      </c>
      <c r="O213" s="8">
        <v>259</v>
      </c>
      <c r="P213" s="8">
        <v>9</v>
      </c>
    </row>
    <row r="214" spans="1:16" x14ac:dyDescent="0.3">
      <c r="A214" s="9" t="s">
        <v>352</v>
      </c>
      <c r="B214" s="9">
        <v>45373</v>
      </c>
      <c r="C214" s="7">
        <v>2024</v>
      </c>
      <c r="D214" s="7" t="str">
        <f t="shared" si="9"/>
        <v>March</v>
      </c>
      <c r="E214" s="7" t="str">
        <f t="shared" si="10"/>
        <v>Friday</v>
      </c>
      <c r="F214" s="10">
        <v>0.22013888888888888</v>
      </c>
      <c r="G214" s="10" t="str">
        <f t="shared" si="11"/>
        <v>5:00 AM – 6:00 AM</v>
      </c>
      <c r="H214" s="7">
        <v>216</v>
      </c>
      <c r="I214" s="7">
        <v>155</v>
      </c>
      <c r="J214" s="7">
        <v>14</v>
      </c>
      <c r="K214" s="7">
        <v>292</v>
      </c>
      <c r="L214" s="7">
        <v>4</v>
      </c>
      <c r="M214" s="7">
        <v>0</v>
      </c>
      <c r="N214" s="7">
        <v>5</v>
      </c>
      <c r="O214" s="7">
        <v>307</v>
      </c>
      <c r="P214" s="7">
        <v>2</v>
      </c>
    </row>
    <row r="215" spans="1:16" x14ac:dyDescent="0.3">
      <c r="A215" s="11" t="s">
        <v>407</v>
      </c>
      <c r="B215" s="11">
        <v>45318</v>
      </c>
      <c r="C215" s="8">
        <v>2024</v>
      </c>
      <c r="D215" s="8" t="str">
        <f t="shared" si="9"/>
        <v>January</v>
      </c>
      <c r="E215" s="8" t="str">
        <f t="shared" si="10"/>
        <v>Saturday</v>
      </c>
      <c r="F215" s="12">
        <v>0.17986111111111111</v>
      </c>
      <c r="G215" s="12" t="str">
        <f t="shared" si="11"/>
        <v>4:00 AM – 5:00 AM</v>
      </c>
      <c r="H215" s="8">
        <v>161</v>
      </c>
      <c r="I215" s="8">
        <v>121</v>
      </c>
      <c r="J215" s="8">
        <v>14</v>
      </c>
      <c r="K215" s="8">
        <v>176</v>
      </c>
      <c r="L215" s="8">
        <v>1</v>
      </c>
      <c r="M215" s="8">
        <v>1</v>
      </c>
      <c r="N215" s="8">
        <v>1</v>
      </c>
      <c r="O215" s="8">
        <v>189</v>
      </c>
      <c r="P215" s="8">
        <v>1</v>
      </c>
    </row>
    <row r="216" spans="1:16" x14ac:dyDescent="0.3">
      <c r="A216" s="9" t="s">
        <v>411</v>
      </c>
      <c r="B216" s="9">
        <v>45314</v>
      </c>
      <c r="C216" s="7">
        <v>2024</v>
      </c>
      <c r="D216" s="7" t="str">
        <f t="shared" si="9"/>
        <v>January</v>
      </c>
      <c r="E216" s="7" t="str">
        <f t="shared" si="10"/>
        <v>Tuesday</v>
      </c>
      <c r="F216" s="10">
        <v>0.14097222222222222</v>
      </c>
      <c r="G216" s="10" t="str">
        <f t="shared" si="11"/>
        <v>3:00 AM – 4:00 AM</v>
      </c>
      <c r="H216" s="7">
        <v>157</v>
      </c>
      <c r="I216" s="7">
        <v>117</v>
      </c>
      <c r="J216" s="7">
        <v>14</v>
      </c>
      <c r="K216" s="7">
        <v>240</v>
      </c>
      <c r="L216" s="7">
        <v>1</v>
      </c>
      <c r="M216" s="7">
        <v>4</v>
      </c>
      <c r="N216" s="7">
        <v>3</v>
      </c>
      <c r="O216" s="7">
        <v>262</v>
      </c>
      <c r="P216" s="7">
        <v>2</v>
      </c>
    </row>
    <row r="217" spans="1:16" x14ac:dyDescent="0.3">
      <c r="A217" s="11" t="s">
        <v>35</v>
      </c>
      <c r="B217" s="11">
        <v>45689</v>
      </c>
      <c r="C217" s="8">
        <v>2025</v>
      </c>
      <c r="D217" s="8" t="str">
        <f t="shared" si="9"/>
        <v>February</v>
      </c>
      <c r="E217" s="8" t="str">
        <f t="shared" si="10"/>
        <v>Saturday</v>
      </c>
      <c r="F217" s="12">
        <v>0.55694444444444446</v>
      </c>
      <c r="G217" s="12" t="str">
        <f t="shared" si="11"/>
        <v>1:00 PM – 2:00 PM</v>
      </c>
      <c r="H217" s="8">
        <v>533</v>
      </c>
      <c r="I217" s="8">
        <v>1294</v>
      </c>
      <c r="J217" s="8">
        <v>13</v>
      </c>
      <c r="K217" s="8">
        <v>140</v>
      </c>
      <c r="L217" s="8">
        <v>2</v>
      </c>
      <c r="M217" s="8">
        <v>3</v>
      </c>
      <c r="N217" s="8">
        <v>8</v>
      </c>
      <c r="O217" s="8">
        <v>139</v>
      </c>
      <c r="P217" s="8">
        <v>-1</v>
      </c>
    </row>
    <row r="218" spans="1:16" x14ac:dyDescent="0.3">
      <c r="A218" s="9" t="s">
        <v>112</v>
      </c>
      <c r="B218" s="9">
        <v>45612</v>
      </c>
      <c r="C218" s="7">
        <v>2024</v>
      </c>
      <c r="D218" s="7" t="str">
        <f t="shared" si="9"/>
        <v>November</v>
      </c>
      <c r="E218" s="7" t="str">
        <f t="shared" si="10"/>
        <v>Saturday</v>
      </c>
      <c r="F218" s="10">
        <v>0.47708333333333336</v>
      </c>
      <c r="G218" s="10" t="str">
        <f t="shared" si="11"/>
        <v>11:00 AM – 12:00 PM</v>
      </c>
      <c r="H218" s="7">
        <v>456</v>
      </c>
      <c r="I218" s="7">
        <v>778</v>
      </c>
      <c r="J218" s="7">
        <v>13</v>
      </c>
      <c r="K218" s="7">
        <v>234</v>
      </c>
      <c r="L218" s="7">
        <v>1</v>
      </c>
      <c r="M218" s="7">
        <v>0</v>
      </c>
      <c r="N218" s="7">
        <v>1</v>
      </c>
      <c r="O218" s="7">
        <v>241</v>
      </c>
      <c r="P218" s="7">
        <v>-2</v>
      </c>
    </row>
    <row r="219" spans="1:16" x14ac:dyDescent="0.3">
      <c r="A219" s="11" t="s">
        <v>117</v>
      </c>
      <c r="B219" s="11">
        <v>45607</v>
      </c>
      <c r="C219" s="8">
        <v>2024</v>
      </c>
      <c r="D219" s="8" t="str">
        <f t="shared" si="9"/>
        <v>November</v>
      </c>
      <c r="E219" s="8" t="str">
        <f t="shared" si="10"/>
        <v>Monday</v>
      </c>
      <c r="F219" s="12">
        <v>0.54374999999999996</v>
      </c>
      <c r="G219" s="12" t="str">
        <f t="shared" si="11"/>
        <v>1:00 PM – 2:00 PM</v>
      </c>
      <c r="H219" s="8">
        <v>451</v>
      </c>
      <c r="I219" s="8">
        <v>775</v>
      </c>
      <c r="J219" s="8">
        <v>13</v>
      </c>
      <c r="K219" s="8">
        <v>286</v>
      </c>
      <c r="L219" s="8">
        <v>1</v>
      </c>
      <c r="M219" s="8">
        <v>4</v>
      </c>
      <c r="N219" s="8">
        <v>0</v>
      </c>
      <c r="O219" s="8">
        <v>292</v>
      </c>
      <c r="P219" s="8">
        <v>4</v>
      </c>
    </row>
    <row r="220" spans="1:16" x14ac:dyDescent="0.3">
      <c r="A220" s="9" t="s">
        <v>130</v>
      </c>
      <c r="B220" s="9">
        <v>45594</v>
      </c>
      <c r="C220" s="7">
        <v>2024</v>
      </c>
      <c r="D220" s="7" t="str">
        <f t="shared" si="9"/>
        <v>October</v>
      </c>
      <c r="E220" s="7" t="str">
        <f t="shared" si="10"/>
        <v>Tuesday</v>
      </c>
      <c r="F220" s="10">
        <v>0.53055555555555556</v>
      </c>
      <c r="G220" s="10" t="str">
        <f t="shared" si="11"/>
        <v>12:00 PM – 1:00 PM</v>
      </c>
      <c r="H220" s="7">
        <v>438</v>
      </c>
      <c r="I220" s="7">
        <v>761</v>
      </c>
      <c r="J220" s="7">
        <v>13</v>
      </c>
      <c r="K220" s="7">
        <v>321</v>
      </c>
      <c r="L220" s="7">
        <v>1</v>
      </c>
      <c r="M220" s="7">
        <v>10</v>
      </c>
      <c r="N220" s="7">
        <v>4</v>
      </c>
      <c r="O220" s="7">
        <v>325</v>
      </c>
      <c r="P220" s="7">
        <v>0</v>
      </c>
    </row>
    <row r="221" spans="1:16" x14ac:dyDescent="0.3">
      <c r="A221" s="11" t="s">
        <v>138</v>
      </c>
      <c r="B221" s="11">
        <v>45586</v>
      </c>
      <c r="C221" s="8">
        <v>2024</v>
      </c>
      <c r="D221" s="8" t="str">
        <f t="shared" si="9"/>
        <v>October</v>
      </c>
      <c r="E221" s="8" t="str">
        <f t="shared" si="10"/>
        <v>Monday</v>
      </c>
      <c r="F221" s="12">
        <v>0.47430555555555554</v>
      </c>
      <c r="G221" s="12" t="str">
        <f t="shared" si="11"/>
        <v>11:00 AM – 12:00 PM</v>
      </c>
      <c r="H221" s="8">
        <v>430</v>
      </c>
      <c r="I221" s="8">
        <v>754</v>
      </c>
      <c r="J221" s="8">
        <v>13</v>
      </c>
      <c r="K221" s="8">
        <v>216</v>
      </c>
      <c r="L221" s="8">
        <v>1</v>
      </c>
      <c r="M221" s="8">
        <v>1</v>
      </c>
      <c r="N221" s="8">
        <v>2</v>
      </c>
      <c r="O221" s="8">
        <v>214</v>
      </c>
      <c r="P221" s="8">
        <v>1</v>
      </c>
    </row>
    <row r="222" spans="1:16" x14ac:dyDescent="0.3">
      <c r="A222" s="9" t="s">
        <v>163</v>
      </c>
      <c r="B222" s="9">
        <v>45561</v>
      </c>
      <c r="C222" s="7">
        <v>2024</v>
      </c>
      <c r="D222" s="7" t="str">
        <f t="shared" si="9"/>
        <v>September</v>
      </c>
      <c r="E222" s="7" t="str">
        <f t="shared" si="10"/>
        <v>Thursday</v>
      </c>
      <c r="F222" s="10">
        <v>0.30555555555555558</v>
      </c>
      <c r="G222" s="10" t="str">
        <f t="shared" si="11"/>
        <v>7:00 AM – 8:00 AM</v>
      </c>
      <c r="H222" s="7">
        <v>405</v>
      </c>
      <c r="I222" s="7">
        <v>682</v>
      </c>
      <c r="J222" s="7">
        <v>13</v>
      </c>
      <c r="K222" s="7">
        <v>336</v>
      </c>
      <c r="L222" s="7">
        <v>1</v>
      </c>
      <c r="M222" s="7">
        <v>2</v>
      </c>
      <c r="N222" s="7">
        <v>3</v>
      </c>
      <c r="O222" s="7">
        <v>335</v>
      </c>
      <c r="P222" s="7">
        <v>10</v>
      </c>
    </row>
    <row r="223" spans="1:16" x14ac:dyDescent="0.3">
      <c r="A223" s="11" t="s">
        <v>188</v>
      </c>
      <c r="B223" s="11">
        <v>45537</v>
      </c>
      <c r="C223" s="8">
        <v>2024</v>
      </c>
      <c r="D223" s="8" t="str">
        <f t="shared" si="9"/>
        <v>September</v>
      </c>
      <c r="E223" s="8" t="str">
        <f t="shared" si="10"/>
        <v>Monday</v>
      </c>
      <c r="F223" s="12">
        <v>0.26597222222222222</v>
      </c>
      <c r="G223" s="12" t="str">
        <f t="shared" si="11"/>
        <v>6:00 AM – 7:00 AM</v>
      </c>
      <c r="H223" s="8">
        <v>380</v>
      </c>
      <c r="I223" s="8">
        <v>597</v>
      </c>
      <c r="J223" s="8">
        <v>13</v>
      </c>
      <c r="K223" s="8">
        <v>187</v>
      </c>
      <c r="L223" s="8">
        <v>1</v>
      </c>
      <c r="M223" s="8">
        <v>5</v>
      </c>
      <c r="N223" s="8">
        <v>7</v>
      </c>
      <c r="O223" s="8">
        <v>198</v>
      </c>
      <c r="P223" s="8">
        <v>5</v>
      </c>
    </row>
    <row r="224" spans="1:16" x14ac:dyDescent="0.3">
      <c r="A224" s="9" t="s">
        <v>207</v>
      </c>
      <c r="B224" s="9">
        <v>45517</v>
      </c>
      <c r="C224" s="7">
        <v>2024</v>
      </c>
      <c r="D224" s="7" t="str">
        <f t="shared" si="9"/>
        <v>August</v>
      </c>
      <c r="E224" s="7" t="str">
        <f t="shared" si="10"/>
        <v>Tuesday</v>
      </c>
      <c r="F224" s="10">
        <v>0.28263888888888888</v>
      </c>
      <c r="G224" s="10" t="str">
        <f t="shared" si="11"/>
        <v>6:00 AM – 7:00 AM</v>
      </c>
      <c r="H224" s="7">
        <v>361</v>
      </c>
      <c r="I224" s="7">
        <v>568</v>
      </c>
      <c r="J224" s="7">
        <v>13</v>
      </c>
      <c r="K224" s="7">
        <v>81</v>
      </c>
      <c r="L224" s="7">
        <v>1</v>
      </c>
      <c r="M224" s="7">
        <v>1</v>
      </c>
      <c r="N224" s="7">
        <v>1</v>
      </c>
      <c r="O224" s="7">
        <v>96</v>
      </c>
      <c r="P224" s="7">
        <v>0</v>
      </c>
    </row>
    <row r="225" spans="1:16" x14ac:dyDescent="0.3">
      <c r="A225" s="11" t="s">
        <v>211</v>
      </c>
      <c r="B225" s="11">
        <v>45513</v>
      </c>
      <c r="C225" s="8">
        <v>2024</v>
      </c>
      <c r="D225" s="8" t="str">
        <f t="shared" si="9"/>
        <v>August</v>
      </c>
      <c r="E225" s="8" t="str">
        <f t="shared" si="10"/>
        <v>Friday</v>
      </c>
      <c r="F225" s="12">
        <v>0.29444444444444445</v>
      </c>
      <c r="G225" s="12" t="str">
        <f t="shared" si="11"/>
        <v>7:00 AM – 8:00 AM</v>
      </c>
      <c r="H225" s="8">
        <v>357</v>
      </c>
      <c r="I225" s="8">
        <v>565</v>
      </c>
      <c r="J225" s="8">
        <v>13</v>
      </c>
      <c r="K225" s="8">
        <v>83</v>
      </c>
      <c r="L225" s="8">
        <v>4</v>
      </c>
      <c r="M225" s="8">
        <v>1</v>
      </c>
      <c r="N225" s="8">
        <v>6</v>
      </c>
      <c r="O225" s="8">
        <v>96</v>
      </c>
      <c r="P225" s="8">
        <v>1</v>
      </c>
    </row>
    <row r="226" spans="1:16" x14ac:dyDescent="0.3">
      <c r="A226" s="9" t="s">
        <v>231</v>
      </c>
      <c r="B226" s="9">
        <v>45493</v>
      </c>
      <c r="C226" s="7">
        <v>2024</v>
      </c>
      <c r="D226" s="7" t="str">
        <f t="shared" si="9"/>
        <v>July</v>
      </c>
      <c r="E226" s="7" t="str">
        <f t="shared" si="10"/>
        <v>Saturday</v>
      </c>
      <c r="F226" s="10">
        <v>0.33124999999999999</v>
      </c>
      <c r="G226" s="10" t="str">
        <f t="shared" si="11"/>
        <v>7:00 AM – 8:00 AM</v>
      </c>
      <c r="H226" s="7">
        <v>337</v>
      </c>
      <c r="I226" s="7">
        <v>569</v>
      </c>
      <c r="J226" s="7">
        <v>13</v>
      </c>
      <c r="K226" s="7">
        <v>339</v>
      </c>
      <c r="L226" s="7">
        <v>3</v>
      </c>
      <c r="M226" s="7">
        <v>0</v>
      </c>
      <c r="N226" s="7">
        <v>4</v>
      </c>
      <c r="O226" s="7">
        <v>335</v>
      </c>
      <c r="P226" s="7">
        <v>0</v>
      </c>
    </row>
    <row r="227" spans="1:16" x14ac:dyDescent="0.3">
      <c r="A227" s="11" t="s">
        <v>256</v>
      </c>
      <c r="B227" s="11">
        <v>45468</v>
      </c>
      <c r="C227" s="8">
        <v>2024</v>
      </c>
      <c r="D227" s="8" t="str">
        <f t="shared" si="9"/>
        <v>June</v>
      </c>
      <c r="E227" s="8" t="str">
        <f t="shared" si="10"/>
        <v>Tuesday</v>
      </c>
      <c r="F227" s="12">
        <v>0.28263888888888888</v>
      </c>
      <c r="G227" s="12" t="str">
        <f t="shared" si="11"/>
        <v>6:00 AM – 7:00 AM</v>
      </c>
      <c r="H227" s="8">
        <v>312</v>
      </c>
      <c r="I227" s="8">
        <v>523</v>
      </c>
      <c r="J227" s="8">
        <v>13</v>
      </c>
      <c r="K227" s="8">
        <v>117</v>
      </c>
      <c r="L227" s="8">
        <v>1</v>
      </c>
      <c r="M227" s="8">
        <v>0</v>
      </c>
      <c r="N227" s="8">
        <v>2</v>
      </c>
      <c r="O227" s="8">
        <v>131</v>
      </c>
      <c r="P227" s="8">
        <v>-1</v>
      </c>
    </row>
    <row r="228" spans="1:16" x14ac:dyDescent="0.3">
      <c r="A228" s="9" t="s">
        <v>303</v>
      </c>
      <c r="B228" s="9">
        <v>45421</v>
      </c>
      <c r="C228" s="7">
        <v>2024</v>
      </c>
      <c r="D228" s="7" t="str">
        <f t="shared" si="9"/>
        <v>May</v>
      </c>
      <c r="E228" s="7" t="str">
        <f t="shared" si="10"/>
        <v>Thursday</v>
      </c>
      <c r="F228" s="10">
        <v>0.24583333333333332</v>
      </c>
      <c r="G228" s="10" t="str">
        <f t="shared" si="11"/>
        <v>5:00 AM – 6:00 AM</v>
      </c>
      <c r="H228" s="7">
        <v>265</v>
      </c>
      <c r="I228" s="7">
        <v>482</v>
      </c>
      <c r="J228" s="7">
        <v>13</v>
      </c>
      <c r="K228" s="7">
        <v>103</v>
      </c>
      <c r="L228" s="7">
        <v>1</v>
      </c>
      <c r="M228" s="7">
        <v>0</v>
      </c>
      <c r="N228" s="7">
        <v>0</v>
      </c>
      <c r="O228" s="7">
        <v>108</v>
      </c>
      <c r="P228" s="7">
        <v>1</v>
      </c>
    </row>
    <row r="229" spans="1:16" x14ac:dyDescent="0.3">
      <c r="A229" s="11" t="s">
        <v>341</v>
      </c>
      <c r="B229" s="11">
        <v>45383</v>
      </c>
      <c r="C229" s="8">
        <v>2024</v>
      </c>
      <c r="D229" s="8" t="str">
        <f t="shared" si="9"/>
        <v>April</v>
      </c>
      <c r="E229" s="8" t="str">
        <f t="shared" si="10"/>
        <v>Monday</v>
      </c>
      <c r="F229" s="12">
        <v>0.24791666666666667</v>
      </c>
      <c r="G229" s="12" t="str">
        <f t="shared" si="11"/>
        <v>5:00 AM – 6:00 AM</v>
      </c>
      <c r="H229" s="8">
        <v>227</v>
      </c>
      <c r="I229" s="8">
        <v>268</v>
      </c>
      <c r="J229" s="8">
        <v>13</v>
      </c>
      <c r="K229" s="8">
        <v>272</v>
      </c>
      <c r="L229" s="8">
        <v>1</v>
      </c>
      <c r="M229" s="8">
        <v>1</v>
      </c>
      <c r="N229" s="8">
        <v>2</v>
      </c>
      <c r="O229" s="8">
        <v>274</v>
      </c>
      <c r="P229" s="8">
        <v>11</v>
      </c>
    </row>
    <row r="230" spans="1:16" x14ac:dyDescent="0.3">
      <c r="A230" s="9" t="s">
        <v>33</v>
      </c>
      <c r="B230" s="9">
        <v>45691</v>
      </c>
      <c r="C230" s="7">
        <v>2025</v>
      </c>
      <c r="D230" s="7" t="str">
        <f t="shared" si="9"/>
        <v>February</v>
      </c>
      <c r="E230" s="7" t="str">
        <f t="shared" si="10"/>
        <v>Monday</v>
      </c>
      <c r="F230" s="10">
        <v>0.60277777777777775</v>
      </c>
      <c r="G230" s="10" t="str">
        <f t="shared" si="11"/>
        <v>2:00 PM – 3:00 PM</v>
      </c>
      <c r="H230" s="7">
        <v>535</v>
      </c>
      <c r="I230" s="7">
        <v>1294</v>
      </c>
      <c r="J230" s="7">
        <v>12</v>
      </c>
      <c r="K230" s="7">
        <v>181</v>
      </c>
      <c r="L230" s="7">
        <v>3</v>
      </c>
      <c r="M230" s="7">
        <v>3</v>
      </c>
      <c r="N230" s="7">
        <v>3</v>
      </c>
      <c r="O230" s="7">
        <v>180</v>
      </c>
      <c r="P230" s="7">
        <v>-1</v>
      </c>
    </row>
    <row r="231" spans="1:16" x14ac:dyDescent="0.3">
      <c r="A231" s="11" t="s">
        <v>55</v>
      </c>
      <c r="B231" s="11">
        <v>45669</v>
      </c>
      <c r="C231" s="8">
        <v>2025</v>
      </c>
      <c r="D231" s="8" t="str">
        <f t="shared" si="9"/>
        <v>January</v>
      </c>
      <c r="E231" s="8" t="str">
        <f t="shared" si="10"/>
        <v>Sunday</v>
      </c>
      <c r="F231" s="12">
        <v>0.59166666666666667</v>
      </c>
      <c r="G231" s="12" t="str">
        <f t="shared" si="11"/>
        <v>2:00 PM – 3:00 PM</v>
      </c>
      <c r="H231" s="8">
        <v>513</v>
      </c>
      <c r="I231" s="8">
        <v>1277</v>
      </c>
      <c r="J231" s="8">
        <v>12</v>
      </c>
      <c r="K231" s="8">
        <v>160</v>
      </c>
      <c r="L231" s="8">
        <v>1</v>
      </c>
      <c r="M231" s="8">
        <v>2</v>
      </c>
      <c r="N231" s="8">
        <v>1</v>
      </c>
      <c r="O231" s="8">
        <v>169</v>
      </c>
      <c r="P231" s="8">
        <v>1</v>
      </c>
    </row>
    <row r="232" spans="1:16" x14ac:dyDescent="0.3">
      <c r="A232" s="9" t="s">
        <v>70</v>
      </c>
      <c r="B232" s="9">
        <v>45654</v>
      </c>
      <c r="C232" s="7">
        <v>2024</v>
      </c>
      <c r="D232" s="7" t="str">
        <f t="shared" si="9"/>
        <v>December</v>
      </c>
      <c r="E232" s="7" t="str">
        <f t="shared" si="10"/>
        <v>Saturday</v>
      </c>
      <c r="F232" s="10">
        <v>0.55763888888888891</v>
      </c>
      <c r="G232" s="10" t="str">
        <f t="shared" si="11"/>
        <v>1:00 PM – 2:00 PM</v>
      </c>
      <c r="H232" s="7">
        <v>498</v>
      </c>
      <c r="I232" s="7">
        <v>820</v>
      </c>
      <c r="J232" s="7">
        <v>12</v>
      </c>
      <c r="K232" s="7">
        <v>1512</v>
      </c>
      <c r="L232" s="7">
        <v>1</v>
      </c>
      <c r="M232" s="7">
        <v>2</v>
      </c>
      <c r="N232" s="7">
        <v>13</v>
      </c>
      <c r="O232" s="7">
        <v>1535</v>
      </c>
      <c r="P232" s="7">
        <v>6</v>
      </c>
    </row>
    <row r="233" spans="1:16" x14ac:dyDescent="0.3">
      <c r="A233" s="11" t="s">
        <v>73</v>
      </c>
      <c r="B233" s="11">
        <v>45651</v>
      </c>
      <c r="C233" s="8">
        <v>2024</v>
      </c>
      <c r="D233" s="8" t="str">
        <f t="shared" si="9"/>
        <v>December</v>
      </c>
      <c r="E233" s="8" t="str">
        <f t="shared" si="10"/>
        <v>Wednesday</v>
      </c>
      <c r="F233" s="12">
        <v>0.56319444444444444</v>
      </c>
      <c r="G233" s="12" t="str">
        <f t="shared" si="11"/>
        <v>1:00 PM – 2:00 PM</v>
      </c>
      <c r="H233" s="8">
        <v>495</v>
      </c>
      <c r="I233" s="8">
        <v>793</v>
      </c>
      <c r="J233" s="8">
        <v>12</v>
      </c>
      <c r="K233" s="8">
        <v>1044</v>
      </c>
      <c r="L233" s="8">
        <v>1</v>
      </c>
      <c r="M233" s="8">
        <v>2</v>
      </c>
      <c r="N233" s="8">
        <v>3</v>
      </c>
      <c r="O233" s="8">
        <v>1048</v>
      </c>
      <c r="P233" s="8">
        <v>0</v>
      </c>
    </row>
    <row r="234" spans="1:16" x14ac:dyDescent="0.3">
      <c r="A234" s="9" t="s">
        <v>81</v>
      </c>
      <c r="B234" s="9">
        <v>45643</v>
      </c>
      <c r="C234" s="7">
        <v>2024</v>
      </c>
      <c r="D234" s="7" t="str">
        <f t="shared" si="9"/>
        <v>December</v>
      </c>
      <c r="E234" s="7" t="str">
        <f t="shared" si="10"/>
        <v>Tuesday</v>
      </c>
      <c r="F234" s="10">
        <v>0.52152777777777781</v>
      </c>
      <c r="G234" s="10" t="str">
        <f t="shared" si="11"/>
        <v>12:00 PM – 1:00 PM</v>
      </c>
      <c r="H234" s="7">
        <v>487</v>
      </c>
      <c r="I234" s="7">
        <v>791</v>
      </c>
      <c r="J234" s="7">
        <v>12</v>
      </c>
      <c r="K234" s="7">
        <v>740</v>
      </c>
      <c r="L234" s="7">
        <v>1</v>
      </c>
      <c r="M234" s="7">
        <v>2</v>
      </c>
      <c r="N234" s="7">
        <v>3</v>
      </c>
      <c r="O234" s="7">
        <v>720</v>
      </c>
      <c r="P234" s="7">
        <v>1</v>
      </c>
    </row>
    <row r="235" spans="1:16" x14ac:dyDescent="0.3">
      <c r="A235" s="11" t="s">
        <v>131</v>
      </c>
      <c r="B235" s="11">
        <v>45593</v>
      </c>
      <c r="C235" s="8">
        <v>2024</v>
      </c>
      <c r="D235" s="8" t="str">
        <f t="shared" si="9"/>
        <v>October</v>
      </c>
      <c r="E235" s="8" t="str">
        <f t="shared" si="10"/>
        <v>Monday</v>
      </c>
      <c r="F235" s="12">
        <v>0.47013888888888888</v>
      </c>
      <c r="G235" s="12" t="str">
        <f t="shared" si="11"/>
        <v>11:00 AM – 12:00 PM</v>
      </c>
      <c r="H235" s="8">
        <v>437</v>
      </c>
      <c r="I235" s="8">
        <v>761</v>
      </c>
      <c r="J235" s="8">
        <v>12</v>
      </c>
      <c r="K235" s="8">
        <v>368</v>
      </c>
      <c r="L235" s="8">
        <v>1</v>
      </c>
      <c r="M235" s="8">
        <v>0</v>
      </c>
      <c r="N235" s="8">
        <v>3</v>
      </c>
      <c r="O235" s="8">
        <v>366</v>
      </c>
      <c r="P235" s="8">
        <v>0</v>
      </c>
    </row>
    <row r="236" spans="1:16" x14ac:dyDescent="0.3">
      <c r="A236" s="9" t="s">
        <v>241</v>
      </c>
      <c r="B236" s="9">
        <v>45483</v>
      </c>
      <c r="C236" s="7">
        <v>2024</v>
      </c>
      <c r="D236" s="7" t="str">
        <f t="shared" si="9"/>
        <v>July</v>
      </c>
      <c r="E236" s="7" t="str">
        <f t="shared" si="10"/>
        <v>Wednesday</v>
      </c>
      <c r="F236" s="10">
        <v>0.28402777777777777</v>
      </c>
      <c r="G236" s="10" t="str">
        <f t="shared" si="11"/>
        <v>6:00 AM – 7:00 AM</v>
      </c>
      <c r="H236" s="7">
        <v>327</v>
      </c>
      <c r="I236" s="7">
        <v>572</v>
      </c>
      <c r="J236" s="7">
        <v>12</v>
      </c>
      <c r="K236" s="7">
        <v>90</v>
      </c>
      <c r="L236" s="7">
        <v>1</v>
      </c>
      <c r="M236" s="7">
        <v>4</v>
      </c>
      <c r="N236" s="7">
        <v>5</v>
      </c>
      <c r="O236" s="7">
        <v>91</v>
      </c>
      <c r="P236" s="7">
        <v>1</v>
      </c>
    </row>
    <row r="237" spans="1:16" x14ac:dyDescent="0.3">
      <c r="A237" s="11" t="s">
        <v>253</v>
      </c>
      <c r="B237" s="11">
        <v>45471</v>
      </c>
      <c r="C237" s="8">
        <v>2024</v>
      </c>
      <c r="D237" s="8" t="str">
        <f t="shared" si="9"/>
        <v>June</v>
      </c>
      <c r="E237" s="8" t="str">
        <f t="shared" si="10"/>
        <v>Friday</v>
      </c>
      <c r="F237" s="12">
        <v>0.29652777777777778</v>
      </c>
      <c r="G237" s="12" t="str">
        <f t="shared" si="11"/>
        <v>7:00 AM – 8:00 AM</v>
      </c>
      <c r="H237" s="8">
        <v>315</v>
      </c>
      <c r="I237" s="8">
        <v>525</v>
      </c>
      <c r="J237" s="8">
        <v>12</v>
      </c>
      <c r="K237" s="8">
        <v>226</v>
      </c>
      <c r="L237" s="8">
        <v>1</v>
      </c>
      <c r="M237" s="8">
        <v>1</v>
      </c>
      <c r="N237" s="8">
        <v>0</v>
      </c>
      <c r="O237" s="8">
        <v>246</v>
      </c>
      <c r="P237" s="8">
        <v>3</v>
      </c>
    </row>
    <row r="238" spans="1:16" x14ac:dyDescent="0.3">
      <c r="A238" s="9" t="s">
        <v>305</v>
      </c>
      <c r="B238" s="9">
        <v>45419</v>
      </c>
      <c r="C238" s="7">
        <v>2024</v>
      </c>
      <c r="D238" s="7" t="str">
        <f t="shared" si="9"/>
        <v>May</v>
      </c>
      <c r="E238" s="7" t="str">
        <f t="shared" si="10"/>
        <v>Tuesday</v>
      </c>
      <c r="F238" s="10">
        <v>0.28819444444444442</v>
      </c>
      <c r="G238" s="10" t="str">
        <f t="shared" si="11"/>
        <v>6:00 AM – 7:00 AM</v>
      </c>
      <c r="H238" s="7">
        <v>263</v>
      </c>
      <c r="I238" s="7">
        <v>476</v>
      </c>
      <c r="J238" s="7">
        <v>12</v>
      </c>
      <c r="K238" s="7">
        <v>152</v>
      </c>
      <c r="L238" s="7">
        <v>1</v>
      </c>
      <c r="M238" s="7">
        <v>1</v>
      </c>
      <c r="N238" s="7">
        <v>3</v>
      </c>
      <c r="O238" s="7">
        <v>171</v>
      </c>
      <c r="P238" s="7">
        <v>3</v>
      </c>
    </row>
    <row r="239" spans="1:16" x14ac:dyDescent="0.3">
      <c r="A239" s="11" t="s">
        <v>317</v>
      </c>
      <c r="B239" s="11">
        <v>45407</v>
      </c>
      <c r="C239" s="8">
        <v>2024</v>
      </c>
      <c r="D239" s="8" t="str">
        <f t="shared" si="9"/>
        <v>April</v>
      </c>
      <c r="E239" s="8" t="str">
        <f t="shared" si="10"/>
        <v>Thursday</v>
      </c>
      <c r="F239" s="12">
        <v>0.21458333333333332</v>
      </c>
      <c r="G239" s="12" t="str">
        <f t="shared" si="11"/>
        <v>5:00 AM – 6:00 AM</v>
      </c>
      <c r="H239" s="8">
        <v>251</v>
      </c>
      <c r="I239" s="8">
        <v>453</v>
      </c>
      <c r="J239" s="8">
        <v>12</v>
      </c>
      <c r="K239" s="8">
        <v>122</v>
      </c>
      <c r="L239" s="8">
        <v>1</v>
      </c>
      <c r="M239" s="8">
        <v>14</v>
      </c>
      <c r="N239" s="8">
        <v>0</v>
      </c>
      <c r="O239" s="8">
        <v>133</v>
      </c>
      <c r="P239" s="8">
        <v>1</v>
      </c>
    </row>
    <row r="240" spans="1:16" x14ac:dyDescent="0.3">
      <c r="A240" s="9" t="s">
        <v>413</v>
      </c>
      <c r="B240" s="9">
        <v>45312</v>
      </c>
      <c r="C240" s="7">
        <v>2024</v>
      </c>
      <c r="D240" s="7" t="str">
        <f t="shared" si="9"/>
        <v>January</v>
      </c>
      <c r="E240" s="7" t="str">
        <f t="shared" si="10"/>
        <v>Sunday</v>
      </c>
      <c r="F240" s="10">
        <v>0.19652777777777777</v>
      </c>
      <c r="G240" s="10" t="str">
        <f t="shared" si="11"/>
        <v>4:00 AM – 5:00 AM</v>
      </c>
      <c r="H240" s="7">
        <v>155</v>
      </c>
      <c r="I240" s="7">
        <v>115</v>
      </c>
      <c r="J240" s="7">
        <v>12</v>
      </c>
      <c r="K240" s="7">
        <v>186</v>
      </c>
      <c r="L240" s="7">
        <v>1</v>
      </c>
      <c r="M240" s="7">
        <v>1</v>
      </c>
      <c r="N240" s="7">
        <v>2</v>
      </c>
      <c r="O240" s="7">
        <v>183</v>
      </c>
      <c r="P240" s="7">
        <v>0</v>
      </c>
    </row>
    <row r="241" spans="1:16" x14ac:dyDescent="0.3">
      <c r="A241" s="11" t="s">
        <v>446</v>
      </c>
      <c r="B241" s="11">
        <v>45280</v>
      </c>
      <c r="C241" s="8">
        <v>2023</v>
      </c>
      <c r="D241" s="8" t="str">
        <f t="shared" si="9"/>
        <v>December</v>
      </c>
      <c r="E241" s="8" t="str">
        <f t="shared" si="10"/>
        <v>Wednesday</v>
      </c>
      <c r="F241" s="12">
        <v>0.12916666666666668</v>
      </c>
      <c r="G241" s="12" t="str">
        <f t="shared" si="11"/>
        <v>3:00 AM – 4:00 AM</v>
      </c>
      <c r="H241" s="8">
        <v>121</v>
      </c>
      <c r="I241" s="8">
        <v>30</v>
      </c>
      <c r="J241" s="8">
        <v>12</v>
      </c>
      <c r="K241" s="8">
        <v>530</v>
      </c>
      <c r="L241" s="8">
        <v>2</v>
      </c>
      <c r="M241" s="8">
        <v>4</v>
      </c>
      <c r="N241" s="8">
        <v>3</v>
      </c>
      <c r="O241" s="8">
        <v>522</v>
      </c>
      <c r="P241" s="8">
        <v>-1</v>
      </c>
    </row>
    <row r="242" spans="1:16" x14ac:dyDescent="0.3">
      <c r="A242" s="9" t="s">
        <v>100</v>
      </c>
      <c r="B242" s="9">
        <v>45624</v>
      </c>
      <c r="C242" s="7">
        <v>2024</v>
      </c>
      <c r="D242" s="7" t="str">
        <f t="shared" si="9"/>
        <v>November</v>
      </c>
      <c r="E242" s="7" t="str">
        <f t="shared" si="10"/>
        <v>Thursday</v>
      </c>
      <c r="F242" s="10">
        <v>0.55555555555555558</v>
      </c>
      <c r="G242" s="10" t="str">
        <f t="shared" si="11"/>
        <v>1:00 PM – 2:00 PM</v>
      </c>
      <c r="H242" s="7">
        <v>468</v>
      </c>
      <c r="I242" s="7">
        <v>780</v>
      </c>
      <c r="J242" s="7">
        <v>11</v>
      </c>
      <c r="K242" s="7">
        <v>288</v>
      </c>
      <c r="L242" s="7">
        <v>1</v>
      </c>
      <c r="M242" s="7">
        <v>11</v>
      </c>
      <c r="N242" s="7">
        <v>3</v>
      </c>
      <c r="O242" s="7">
        <v>283</v>
      </c>
      <c r="P242" s="7">
        <v>1</v>
      </c>
    </row>
    <row r="243" spans="1:16" x14ac:dyDescent="0.3">
      <c r="A243" s="11" t="s">
        <v>109</v>
      </c>
      <c r="B243" s="11">
        <v>45615</v>
      </c>
      <c r="C243" s="8">
        <v>2024</v>
      </c>
      <c r="D243" s="8" t="str">
        <f t="shared" si="9"/>
        <v>November</v>
      </c>
      <c r="E243" s="8" t="str">
        <f t="shared" si="10"/>
        <v>Tuesday</v>
      </c>
      <c r="F243" s="12">
        <v>0.30833333333333335</v>
      </c>
      <c r="G243" s="12" t="str">
        <f t="shared" si="11"/>
        <v>7:00 AM – 8:00 AM</v>
      </c>
      <c r="H243" s="8">
        <v>459</v>
      </c>
      <c r="I243" s="8">
        <v>772</v>
      </c>
      <c r="J243" s="8">
        <v>11</v>
      </c>
      <c r="K243" s="8">
        <v>177</v>
      </c>
      <c r="L243" s="8">
        <v>2</v>
      </c>
      <c r="M243" s="8">
        <v>2</v>
      </c>
      <c r="N243" s="8">
        <v>3</v>
      </c>
      <c r="O243" s="8">
        <v>191</v>
      </c>
      <c r="P243" s="8">
        <v>-2</v>
      </c>
    </row>
    <row r="244" spans="1:16" x14ac:dyDescent="0.3">
      <c r="A244" s="9" t="s">
        <v>135</v>
      </c>
      <c r="B244" s="9">
        <v>45589</v>
      </c>
      <c r="C244" s="7">
        <v>2024</v>
      </c>
      <c r="D244" s="7" t="str">
        <f t="shared" si="9"/>
        <v>October</v>
      </c>
      <c r="E244" s="7" t="str">
        <f t="shared" si="10"/>
        <v>Thursday</v>
      </c>
      <c r="F244" s="10">
        <v>0.52916666666666667</v>
      </c>
      <c r="G244" s="10" t="str">
        <f t="shared" si="11"/>
        <v>12:00 PM – 1:00 PM</v>
      </c>
      <c r="H244" s="7">
        <v>433</v>
      </c>
      <c r="I244" s="7">
        <v>757</v>
      </c>
      <c r="J244" s="7">
        <v>11</v>
      </c>
      <c r="K244" s="7">
        <v>142</v>
      </c>
      <c r="L244" s="7">
        <v>2</v>
      </c>
      <c r="M244" s="7">
        <v>1</v>
      </c>
      <c r="N244" s="7">
        <v>2</v>
      </c>
      <c r="O244" s="7">
        <v>143</v>
      </c>
      <c r="P244" s="7">
        <v>1</v>
      </c>
    </row>
    <row r="245" spans="1:16" x14ac:dyDescent="0.3">
      <c r="A245" s="11" t="s">
        <v>141</v>
      </c>
      <c r="B245" s="11">
        <v>45583</v>
      </c>
      <c r="C245" s="8">
        <v>2024</v>
      </c>
      <c r="D245" s="8" t="str">
        <f t="shared" si="9"/>
        <v>October</v>
      </c>
      <c r="E245" s="8" t="str">
        <f t="shared" si="10"/>
        <v>Friday</v>
      </c>
      <c r="F245" s="12">
        <v>0.30486111111111114</v>
      </c>
      <c r="G245" s="12" t="str">
        <f t="shared" si="11"/>
        <v>7:00 AM – 8:00 AM</v>
      </c>
      <c r="H245" s="8">
        <v>427</v>
      </c>
      <c r="I245" s="8">
        <v>751</v>
      </c>
      <c r="J245" s="8">
        <v>11</v>
      </c>
      <c r="K245" s="8">
        <v>293</v>
      </c>
      <c r="L245" s="8">
        <v>2</v>
      </c>
      <c r="M245" s="8">
        <v>2</v>
      </c>
      <c r="N245" s="8">
        <v>3</v>
      </c>
      <c r="O245" s="8">
        <v>292</v>
      </c>
      <c r="P245" s="8">
        <v>3</v>
      </c>
    </row>
    <row r="246" spans="1:16" x14ac:dyDescent="0.3">
      <c r="A246" s="9" t="s">
        <v>151</v>
      </c>
      <c r="B246" s="9">
        <v>45573</v>
      </c>
      <c r="C246" s="7">
        <v>2024</v>
      </c>
      <c r="D246" s="7" t="str">
        <f t="shared" si="9"/>
        <v>October</v>
      </c>
      <c r="E246" s="7" t="str">
        <f t="shared" si="10"/>
        <v>Tuesday</v>
      </c>
      <c r="F246" s="10">
        <v>0.48125000000000001</v>
      </c>
      <c r="G246" s="10" t="str">
        <f t="shared" si="11"/>
        <v>11:00 AM – 12:00 PM</v>
      </c>
      <c r="H246" s="7">
        <v>417</v>
      </c>
      <c r="I246" s="7">
        <v>722</v>
      </c>
      <c r="J246" s="7">
        <v>11</v>
      </c>
      <c r="K246" s="7">
        <v>286</v>
      </c>
      <c r="L246" s="7">
        <v>1</v>
      </c>
      <c r="M246" s="7">
        <v>1</v>
      </c>
      <c r="N246" s="7">
        <v>8</v>
      </c>
      <c r="O246" s="7">
        <v>309</v>
      </c>
      <c r="P246" s="7">
        <v>10</v>
      </c>
    </row>
    <row r="247" spans="1:16" x14ac:dyDescent="0.3">
      <c r="A247" s="11" t="s">
        <v>160</v>
      </c>
      <c r="B247" s="11">
        <v>45564</v>
      </c>
      <c r="C247" s="8">
        <v>2024</v>
      </c>
      <c r="D247" s="8" t="str">
        <f t="shared" si="9"/>
        <v>September</v>
      </c>
      <c r="E247" s="8" t="str">
        <f t="shared" si="10"/>
        <v>Sunday</v>
      </c>
      <c r="F247" s="12">
        <v>0.78819444444444442</v>
      </c>
      <c r="G247" s="12" t="str">
        <f t="shared" si="11"/>
        <v>6:00 PM – 7:00 PM</v>
      </c>
      <c r="H247" s="8">
        <v>408</v>
      </c>
      <c r="I247" s="8">
        <v>688</v>
      </c>
      <c r="J247" s="8">
        <v>11</v>
      </c>
      <c r="K247" s="8">
        <v>216</v>
      </c>
      <c r="L247" s="8">
        <v>1</v>
      </c>
      <c r="M247" s="8">
        <v>5</v>
      </c>
      <c r="N247" s="8">
        <v>2</v>
      </c>
      <c r="O247" s="8">
        <v>226</v>
      </c>
      <c r="P247" s="8">
        <v>2</v>
      </c>
    </row>
    <row r="248" spans="1:16" x14ac:dyDescent="0.3">
      <c r="A248" s="9" t="s">
        <v>270</v>
      </c>
      <c r="B248" s="9">
        <v>45454</v>
      </c>
      <c r="C248" s="7">
        <v>2024</v>
      </c>
      <c r="D248" s="7" t="str">
        <f t="shared" si="9"/>
        <v>June</v>
      </c>
      <c r="E248" s="7" t="str">
        <f t="shared" si="10"/>
        <v>Tuesday</v>
      </c>
      <c r="F248" s="10">
        <v>0.29305555555555557</v>
      </c>
      <c r="G248" s="10" t="str">
        <f t="shared" si="11"/>
        <v>7:00 AM – 8:00 AM</v>
      </c>
      <c r="H248" s="7">
        <v>298</v>
      </c>
      <c r="I248" s="7">
        <v>517</v>
      </c>
      <c r="J248" s="7">
        <v>11</v>
      </c>
      <c r="K248" s="7">
        <v>205</v>
      </c>
      <c r="L248" s="7">
        <v>1</v>
      </c>
      <c r="M248" s="7">
        <v>1</v>
      </c>
      <c r="N248" s="7">
        <v>8</v>
      </c>
      <c r="O248" s="7">
        <v>245</v>
      </c>
      <c r="P248" s="7">
        <v>0</v>
      </c>
    </row>
    <row r="249" spans="1:16" x14ac:dyDescent="0.3">
      <c r="A249" s="11" t="s">
        <v>313</v>
      </c>
      <c r="B249" s="11">
        <v>45411</v>
      </c>
      <c r="C249" s="8">
        <v>2024</v>
      </c>
      <c r="D249" s="8" t="str">
        <f t="shared" si="9"/>
        <v>April</v>
      </c>
      <c r="E249" s="8" t="str">
        <f t="shared" si="10"/>
        <v>Monday</v>
      </c>
      <c r="F249" s="12">
        <v>0.28194444444444444</v>
      </c>
      <c r="G249" s="12" t="str">
        <f t="shared" si="11"/>
        <v>6:00 AM – 7:00 AM</v>
      </c>
      <c r="H249" s="8">
        <v>255</v>
      </c>
      <c r="I249" s="8">
        <v>463</v>
      </c>
      <c r="J249" s="8">
        <v>11</v>
      </c>
      <c r="K249" s="8">
        <v>142</v>
      </c>
      <c r="L249" s="8">
        <v>0</v>
      </c>
      <c r="M249" s="8">
        <v>0</v>
      </c>
      <c r="N249" s="8">
        <v>1</v>
      </c>
      <c r="O249" s="8">
        <v>155</v>
      </c>
      <c r="P249" s="8">
        <v>2</v>
      </c>
    </row>
    <row r="250" spans="1:16" x14ac:dyDescent="0.3">
      <c r="A250" s="9" t="s">
        <v>366</v>
      </c>
      <c r="B250" s="9">
        <v>45359</v>
      </c>
      <c r="C250" s="7">
        <v>2024</v>
      </c>
      <c r="D250" s="7" t="str">
        <f t="shared" si="9"/>
        <v>March</v>
      </c>
      <c r="E250" s="7" t="str">
        <f t="shared" si="10"/>
        <v>Friday</v>
      </c>
      <c r="F250" s="10">
        <v>0.27013888888888887</v>
      </c>
      <c r="G250" s="10" t="str">
        <f t="shared" si="11"/>
        <v>6:00 AM – 7:00 AM</v>
      </c>
      <c r="H250" s="7">
        <v>202</v>
      </c>
      <c r="I250" s="7">
        <v>135</v>
      </c>
      <c r="J250" s="7">
        <v>11</v>
      </c>
      <c r="K250" s="7">
        <v>277</v>
      </c>
      <c r="L250" s="7">
        <v>1</v>
      </c>
      <c r="M250" s="7">
        <v>0</v>
      </c>
      <c r="N250" s="7">
        <v>2</v>
      </c>
      <c r="O250" s="7">
        <v>273</v>
      </c>
      <c r="P250" s="7">
        <v>1</v>
      </c>
    </row>
    <row r="251" spans="1:16" x14ac:dyDescent="0.3">
      <c r="A251" s="11" t="s">
        <v>20</v>
      </c>
      <c r="B251" s="11">
        <v>45704</v>
      </c>
      <c r="C251" s="8">
        <v>2025</v>
      </c>
      <c r="D251" s="8" t="str">
        <f t="shared" si="9"/>
        <v>February</v>
      </c>
      <c r="E251" s="8" t="str">
        <f t="shared" si="10"/>
        <v>Sunday</v>
      </c>
      <c r="F251" s="12">
        <v>0.6694444444444444</v>
      </c>
      <c r="G251" s="12" t="str">
        <f t="shared" si="11"/>
        <v>4:00 PM – 5:00 PM</v>
      </c>
      <c r="H251" s="8">
        <v>548</v>
      </c>
      <c r="I251" s="8">
        <v>1288</v>
      </c>
      <c r="J251" s="8">
        <v>10</v>
      </c>
      <c r="K251" s="8">
        <v>194</v>
      </c>
      <c r="L251" s="8">
        <v>1</v>
      </c>
      <c r="M251" s="8">
        <v>6</v>
      </c>
      <c r="N251" s="8">
        <v>1</v>
      </c>
      <c r="O251" s="8">
        <v>200</v>
      </c>
      <c r="P251" s="8">
        <v>-2</v>
      </c>
    </row>
    <row r="252" spans="1:16" x14ac:dyDescent="0.3">
      <c r="A252" s="9" t="s">
        <v>31</v>
      </c>
      <c r="B252" s="9">
        <v>45693</v>
      </c>
      <c r="C252" s="7">
        <v>2025</v>
      </c>
      <c r="D252" s="7" t="str">
        <f t="shared" si="9"/>
        <v>February</v>
      </c>
      <c r="E252" s="7" t="str">
        <f t="shared" si="10"/>
        <v>Wednesday</v>
      </c>
      <c r="F252" s="10">
        <v>0.65833333333333333</v>
      </c>
      <c r="G252" s="10" t="str">
        <f t="shared" si="11"/>
        <v>3:00 PM – 4:00 PM</v>
      </c>
      <c r="H252" s="7">
        <v>537</v>
      </c>
      <c r="I252" s="7">
        <v>1296</v>
      </c>
      <c r="J252" s="7">
        <v>10</v>
      </c>
      <c r="K252" s="7">
        <v>94</v>
      </c>
      <c r="L252" s="7">
        <v>1</v>
      </c>
      <c r="M252" s="7">
        <v>1</v>
      </c>
      <c r="N252" s="7">
        <v>3</v>
      </c>
      <c r="O252" s="7">
        <v>90</v>
      </c>
      <c r="P252" s="7">
        <v>2</v>
      </c>
    </row>
    <row r="253" spans="1:16" x14ac:dyDescent="0.3">
      <c r="A253" s="11" t="s">
        <v>44</v>
      </c>
      <c r="B253" s="11">
        <v>45680</v>
      </c>
      <c r="C253" s="8">
        <v>2025</v>
      </c>
      <c r="D253" s="8" t="str">
        <f t="shared" si="9"/>
        <v>January</v>
      </c>
      <c r="E253" s="8" t="str">
        <f t="shared" si="10"/>
        <v>Thursday</v>
      </c>
      <c r="F253" s="12">
        <v>0.61319444444444449</v>
      </c>
      <c r="G253" s="12" t="str">
        <f t="shared" si="11"/>
        <v>2:00 PM – 3:00 PM</v>
      </c>
      <c r="H253" s="8">
        <v>524</v>
      </c>
      <c r="I253" s="8">
        <v>1288</v>
      </c>
      <c r="J253" s="8">
        <v>10</v>
      </c>
      <c r="K253" s="8">
        <v>85</v>
      </c>
      <c r="L253" s="8">
        <v>1</v>
      </c>
      <c r="M253" s="8">
        <v>1</v>
      </c>
      <c r="N253" s="8">
        <v>1</v>
      </c>
      <c r="O253" s="8">
        <v>85</v>
      </c>
      <c r="P253" s="8">
        <v>1</v>
      </c>
    </row>
    <row r="254" spans="1:16" x14ac:dyDescent="0.3">
      <c r="A254" s="9" t="s">
        <v>60</v>
      </c>
      <c r="B254" s="9">
        <v>45664</v>
      </c>
      <c r="C254" s="7">
        <v>2025</v>
      </c>
      <c r="D254" s="7" t="str">
        <f t="shared" si="9"/>
        <v>January</v>
      </c>
      <c r="E254" s="7" t="str">
        <f t="shared" si="10"/>
        <v>Tuesday</v>
      </c>
      <c r="F254" s="10">
        <v>0.61111111111111116</v>
      </c>
      <c r="G254" s="10" t="str">
        <f t="shared" si="11"/>
        <v>2:00 PM – 3:00 PM</v>
      </c>
      <c r="H254" s="7">
        <v>508</v>
      </c>
      <c r="I254" s="7">
        <v>1260</v>
      </c>
      <c r="J254" s="7">
        <v>10</v>
      </c>
      <c r="K254" s="7">
        <v>242</v>
      </c>
      <c r="L254" s="7">
        <v>1</v>
      </c>
      <c r="M254" s="7">
        <v>1</v>
      </c>
      <c r="N254" s="7">
        <v>2</v>
      </c>
      <c r="O254" s="7">
        <v>241</v>
      </c>
      <c r="P254" s="7">
        <v>7</v>
      </c>
    </row>
    <row r="255" spans="1:16" x14ac:dyDescent="0.3">
      <c r="A255" s="11" t="s">
        <v>96</v>
      </c>
      <c r="B255" s="11">
        <v>45628</v>
      </c>
      <c r="C255" s="8">
        <v>2024</v>
      </c>
      <c r="D255" s="8" t="str">
        <f t="shared" si="9"/>
        <v>December</v>
      </c>
      <c r="E255" s="8" t="str">
        <f t="shared" si="10"/>
        <v>Monday</v>
      </c>
      <c r="F255" s="12">
        <v>0.47291666666666665</v>
      </c>
      <c r="G255" s="12" t="str">
        <f t="shared" si="11"/>
        <v>11:00 AM – 12:00 PM</v>
      </c>
      <c r="H255" s="8">
        <v>472</v>
      </c>
      <c r="I255" s="8">
        <v>780</v>
      </c>
      <c r="J255" s="8">
        <v>10</v>
      </c>
      <c r="K255" s="8">
        <v>466</v>
      </c>
      <c r="L255" s="8">
        <v>1</v>
      </c>
      <c r="M255" s="8">
        <v>0</v>
      </c>
      <c r="N255" s="8">
        <v>0</v>
      </c>
      <c r="O255" s="8">
        <v>461</v>
      </c>
      <c r="P255" s="8">
        <v>0</v>
      </c>
    </row>
    <row r="256" spans="1:16" x14ac:dyDescent="0.3">
      <c r="A256" s="9" t="s">
        <v>113</v>
      </c>
      <c r="B256" s="9">
        <v>45611</v>
      </c>
      <c r="C256" s="7">
        <v>2024</v>
      </c>
      <c r="D256" s="7" t="str">
        <f t="shared" si="9"/>
        <v>November</v>
      </c>
      <c r="E256" s="7" t="str">
        <f t="shared" si="10"/>
        <v>Friday</v>
      </c>
      <c r="F256" s="10">
        <v>0.59375</v>
      </c>
      <c r="G256" s="10" t="str">
        <f t="shared" si="11"/>
        <v>2:00 PM – 3:00 PM</v>
      </c>
      <c r="H256" s="7">
        <v>455</v>
      </c>
      <c r="I256" s="7">
        <v>780</v>
      </c>
      <c r="J256" s="7">
        <v>10</v>
      </c>
      <c r="K256" s="7">
        <v>292</v>
      </c>
      <c r="L256" s="7">
        <v>2</v>
      </c>
      <c r="M256" s="7">
        <v>0</v>
      </c>
      <c r="N256" s="7">
        <v>4</v>
      </c>
      <c r="O256" s="7">
        <v>293</v>
      </c>
      <c r="P256" s="7">
        <v>1</v>
      </c>
    </row>
    <row r="257" spans="1:16" x14ac:dyDescent="0.3">
      <c r="A257" s="11" t="s">
        <v>114</v>
      </c>
      <c r="B257" s="11">
        <v>45610</v>
      </c>
      <c r="C257" s="8">
        <v>2024</v>
      </c>
      <c r="D257" s="8" t="str">
        <f t="shared" si="9"/>
        <v>November</v>
      </c>
      <c r="E257" s="8" t="str">
        <f t="shared" si="10"/>
        <v>Thursday</v>
      </c>
      <c r="F257" s="12">
        <v>0.52638888888888891</v>
      </c>
      <c r="G257" s="12" t="str">
        <f t="shared" si="11"/>
        <v>12:00 PM – 1:00 PM</v>
      </c>
      <c r="H257" s="8">
        <v>454</v>
      </c>
      <c r="I257" s="8">
        <v>779</v>
      </c>
      <c r="J257" s="8">
        <v>10</v>
      </c>
      <c r="K257" s="8">
        <v>199</v>
      </c>
      <c r="L257" s="8">
        <v>2</v>
      </c>
      <c r="M257" s="8">
        <v>2</v>
      </c>
      <c r="N257" s="8">
        <v>3</v>
      </c>
      <c r="O257" s="8">
        <v>199</v>
      </c>
      <c r="P257" s="8">
        <v>1</v>
      </c>
    </row>
    <row r="258" spans="1:16" x14ac:dyDescent="0.3">
      <c r="A258" s="9" t="s">
        <v>189</v>
      </c>
      <c r="B258" s="9">
        <v>45535</v>
      </c>
      <c r="C258" s="7">
        <v>2024</v>
      </c>
      <c r="D258" s="7" t="str">
        <f t="shared" ref="D258:D321" si="12">TEXT(B258,"MMMM")</f>
        <v>August</v>
      </c>
      <c r="E258" s="7" t="str">
        <f t="shared" ref="E258:E321" si="13">TEXT(B258,"dddd")</f>
        <v>Saturday</v>
      </c>
      <c r="F258" s="10">
        <v>0.30833333333333335</v>
      </c>
      <c r="G258" s="10" t="str">
        <f t="shared" ref="G258:G321" si="14">TEXT(FLOOR(F258,"1:00"),"h:mm AM/PM") &amp; " – " &amp; TEXT(FLOOR(F258,"1:00") + TIME(1,0,0),"h:mm AM/PM")</f>
        <v>7:00 AM – 8:00 AM</v>
      </c>
      <c r="H258" s="7">
        <v>379</v>
      </c>
      <c r="I258" s="7">
        <v>592</v>
      </c>
      <c r="J258" s="7">
        <v>10</v>
      </c>
      <c r="K258" s="7">
        <v>305</v>
      </c>
      <c r="L258" s="7">
        <v>2</v>
      </c>
      <c r="M258" s="7">
        <v>3</v>
      </c>
      <c r="N258" s="7">
        <v>2</v>
      </c>
      <c r="O258" s="7">
        <v>306</v>
      </c>
      <c r="P258" s="7">
        <v>5</v>
      </c>
    </row>
    <row r="259" spans="1:16" x14ac:dyDescent="0.3">
      <c r="A259" s="11" t="s">
        <v>202</v>
      </c>
      <c r="B259" s="11">
        <v>45522</v>
      </c>
      <c r="C259" s="8">
        <v>2024</v>
      </c>
      <c r="D259" s="8" t="str">
        <f t="shared" si="12"/>
        <v>August</v>
      </c>
      <c r="E259" s="8" t="str">
        <f t="shared" si="13"/>
        <v>Sunday</v>
      </c>
      <c r="F259" s="12">
        <v>0.3</v>
      </c>
      <c r="G259" s="12" t="str">
        <f t="shared" si="14"/>
        <v>7:00 AM – 8:00 AM</v>
      </c>
      <c r="H259" s="8">
        <v>366</v>
      </c>
      <c r="I259" s="8">
        <v>571</v>
      </c>
      <c r="J259" s="8">
        <v>10</v>
      </c>
      <c r="K259" s="8">
        <v>69</v>
      </c>
      <c r="L259" s="8">
        <v>1</v>
      </c>
      <c r="M259" s="8">
        <v>2</v>
      </c>
      <c r="N259" s="8">
        <v>2</v>
      </c>
      <c r="O259" s="8">
        <v>72</v>
      </c>
      <c r="P259" s="8">
        <v>0</v>
      </c>
    </row>
    <row r="260" spans="1:16" x14ac:dyDescent="0.3">
      <c r="A260" s="9" t="s">
        <v>218</v>
      </c>
      <c r="B260" s="9">
        <v>45506</v>
      </c>
      <c r="C260" s="7">
        <v>2024</v>
      </c>
      <c r="D260" s="7" t="str">
        <f t="shared" si="12"/>
        <v>August</v>
      </c>
      <c r="E260" s="7" t="str">
        <f t="shared" si="13"/>
        <v>Friday</v>
      </c>
      <c r="F260" s="10">
        <v>0.29097222222222224</v>
      </c>
      <c r="G260" s="10" t="str">
        <f t="shared" si="14"/>
        <v>6:00 AM – 7:00 AM</v>
      </c>
      <c r="H260" s="7">
        <v>350</v>
      </c>
      <c r="I260" s="7">
        <v>565</v>
      </c>
      <c r="J260" s="7">
        <v>10</v>
      </c>
      <c r="K260" s="7">
        <v>99</v>
      </c>
      <c r="L260" s="7">
        <v>1</v>
      </c>
      <c r="M260" s="7">
        <v>5</v>
      </c>
      <c r="N260" s="7">
        <v>1</v>
      </c>
      <c r="O260" s="7">
        <v>105</v>
      </c>
      <c r="P260" s="7">
        <v>-1</v>
      </c>
    </row>
    <row r="261" spans="1:16" x14ac:dyDescent="0.3">
      <c r="A261" s="11" t="s">
        <v>244</v>
      </c>
      <c r="B261" s="11">
        <v>45480</v>
      </c>
      <c r="C261" s="8">
        <v>2024</v>
      </c>
      <c r="D261" s="8" t="str">
        <f t="shared" si="12"/>
        <v>July</v>
      </c>
      <c r="E261" s="8" t="str">
        <f t="shared" si="13"/>
        <v>Sunday</v>
      </c>
      <c r="F261" s="12">
        <v>0.28958333333333336</v>
      </c>
      <c r="G261" s="12" t="str">
        <f t="shared" si="14"/>
        <v>6:00 AM – 7:00 AM</v>
      </c>
      <c r="H261" s="8">
        <v>324</v>
      </c>
      <c r="I261" s="8">
        <v>571</v>
      </c>
      <c r="J261" s="8">
        <v>10</v>
      </c>
      <c r="K261" s="8">
        <v>115</v>
      </c>
      <c r="L261" s="8">
        <v>2</v>
      </c>
      <c r="M261" s="8">
        <v>1</v>
      </c>
      <c r="N261" s="8">
        <v>1</v>
      </c>
      <c r="O261" s="8">
        <v>117</v>
      </c>
      <c r="P261" s="8">
        <v>-1</v>
      </c>
    </row>
    <row r="262" spans="1:16" x14ac:dyDescent="0.3">
      <c r="A262" s="9" t="s">
        <v>337</v>
      </c>
      <c r="B262" s="9">
        <v>45387</v>
      </c>
      <c r="C262" s="7">
        <v>2024</v>
      </c>
      <c r="D262" s="7" t="str">
        <f t="shared" si="12"/>
        <v>April</v>
      </c>
      <c r="E262" s="7" t="str">
        <f t="shared" si="13"/>
        <v>Friday</v>
      </c>
      <c r="F262" s="10">
        <v>0.19236111111111112</v>
      </c>
      <c r="G262" s="10" t="str">
        <f t="shared" si="14"/>
        <v>4:00 AM – 5:00 AM</v>
      </c>
      <c r="H262" s="7">
        <v>231</v>
      </c>
      <c r="I262" s="7">
        <v>329</v>
      </c>
      <c r="J262" s="7">
        <v>10</v>
      </c>
      <c r="K262" s="7">
        <v>169</v>
      </c>
      <c r="L262" s="7">
        <v>1</v>
      </c>
      <c r="M262" s="7">
        <v>0</v>
      </c>
      <c r="N262" s="7">
        <v>2</v>
      </c>
      <c r="O262" s="7">
        <v>161</v>
      </c>
      <c r="P262" s="7">
        <v>12</v>
      </c>
    </row>
    <row r="263" spans="1:16" x14ac:dyDescent="0.3">
      <c r="A263" s="11" t="s">
        <v>359</v>
      </c>
      <c r="B263" s="11">
        <v>45366</v>
      </c>
      <c r="C263" s="8">
        <v>2024</v>
      </c>
      <c r="D263" s="8" t="str">
        <f t="shared" si="12"/>
        <v>March</v>
      </c>
      <c r="E263" s="8" t="str">
        <f t="shared" si="13"/>
        <v>Friday</v>
      </c>
      <c r="F263" s="12">
        <v>0.21597222222222223</v>
      </c>
      <c r="G263" s="12" t="str">
        <f t="shared" si="14"/>
        <v>5:00 AM – 6:00 AM</v>
      </c>
      <c r="H263" s="8">
        <v>209</v>
      </c>
      <c r="I263" s="8">
        <v>141</v>
      </c>
      <c r="J263" s="8">
        <v>10</v>
      </c>
      <c r="K263" s="8">
        <v>214</v>
      </c>
      <c r="L263" s="8">
        <v>2</v>
      </c>
      <c r="M263" s="8">
        <v>2</v>
      </c>
      <c r="N263" s="8">
        <v>1</v>
      </c>
      <c r="O263" s="8">
        <v>211</v>
      </c>
      <c r="P263" s="8">
        <v>0</v>
      </c>
    </row>
    <row r="264" spans="1:16" x14ac:dyDescent="0.3">
      <c r="A264" s="9" t="s">
        <v>362</v>
      </c>
      <c r="B264" s="9">
        <v>45363</v>
      </c>
      <c r="C264" s="7">
        <v>2024</v>
      </c>
      <c r="D264" s="7" t="str">
        <f t="shared" si="12"/>
        <v>March</v>
      </c>
      <c r="E264" s="7" t="str">
        <f t="shared" si="13"/>
        <v>Tuesday</v>
      </c>
      <c r="F264" s="10">
        <v>0.19722222222222222</v>
      </c>
      <c r="G264" s="10" t="str">
        <f t="shared" si="14"/>
        <v>4:00 AM – 5:00 AM</v>
      </c>
      <c r="H264" s="7">
        <v>206</v>
      </c>
      <c r="I264" s="7">
        <v>138</v>
      </c>
      <c r="J264" s="7">
        <v>10</v>
      </c>
      <c r="K264" s="7">
        <v>280</v>
      </c>
      <c r="L264" s="7">
        <v>1</v>
      </c>
      <c r="M264" s="7">
        <v>0</v>
      </c>
      <c r="N264" s="7">
        <v>0</v>
      </c>
      <c r="O264" s="7">
        <v>280</v>
      </c>
      <c r="P264" s="7">
        <v>1</v>
      </c>
    </row>
    <row r="265" spans="1:16" x14ac:dyDescent="0.3">
      <c r="A265" s="11" t="s">
        <v>410</v>
      </c>
      <c r="B265" s="11">
        <v>45315</v>
      </c>
      <c r="C265" s="8">
        <v>2024</v>
      </c>
      <c r="D265" s="8" t="str">
        <f t="shared" si="12"/>
        <v>January</v>
      </c>
      <c r="E265" s="8" t="str">
        <f t="shared" si="13"/>
        <v>Wednesday</v>
      </c>
      <c r="F265" s="12">
        <v>0.28888888888888886</v>
      </c>
      <c r="G265" s="12" t="str">
        <f t="shared" si="14"/>
        <v>6:00 AM – 7:00 AM</v>
      </c>
      <c r="H265" s="8">
        <v>158</v>
      </c>
      <c r="I265" s="8">
        <v>118</v>
      </c>
      <c r="J265" s="8">
        <v>10</v>
      </c>
      <c r="K265" s="8">
        <v>170</v>
      </c>
      <c r="L265" s="8">
        <v>1</v>
      </c>
      <c r="M265" s="8">
        <v>0</v>
      </c>
      <c r="N265" s="8">
        <v>0</v>
      </c>
      <c r="O265" s="8">
        <v>168</v>
      </c>
      <c r="P265" s="8">
        <v>1</v>
      </c>
    </row>
    <row r="266" spans="1:16" x14ac:dyDescent="0.3">
      <c r="A266" s="9" t="s">
        <v>16</v>
      </c>
      <c r="B266" s="9">
        <v>45708</v>
      </c>
      <c r="C266" s="7">
        <v>2025</v>
      </c>
      <c r="D266" s="7" t="str">
        <f t="shared" si="12"/>
        <v>February</v>
      </c>
      <c r="E266" s="7" t="str">
        <f t="shared" si="13"/>
        <v>Thursday</v>
      </c>
      <c r="F266" s="10">
        <v>0.73541666666666672</v>
      </c>
      <c r="G266" s="10" t="str">
        <f t="shared" si="14"/>
        <v>5:00 PM – 6:00 PM</v>
      </c>
      <c r="H266" s="7">
        <v>552</v>
      </c>
      <c r="I266" s="7">
        <v>1289</v>
      </c>
      <c r="J266" s="7">
        <v>9</v>
      </c>
      <c r="K266" s="7">
        <v>215</v>
      </c>
      <c r="L266" s="7">
        <v>1</v>
      </c>
      <c r="M266" s="7">
        <v>4</v>
      </c>
      <c r="N266" s="7">
        <v>4</v>
      </c>
      <c r="O266" s="7">
        <v>219</v>
      </c>
      <c r="P266" s="7">
        <v>1</v>
      </c>
    </row>
    <row r="267" spans="1:16" x14ac:dyDescent="0.3">
      <c r="A267" s="11" t="s">
        <v>41</v>
      </c>
      <c r="B267" s="11">
        <v>45683</v>
      </c>
      <c r="C267" s="8">
        <v>2025</v>
      </c>
      <c r="D267" s="8" t="str">
        <f t="shared" si="12"/>
        <v>January</v>
      </c>
      <c r="E267" s="8" t="str">
        <f t="shared" si="13"/>
        <v>Sunday</v>
      </c>
      <c r="F267" s="12">
        <v>0.62777777777777777</v>
      </c>
      <c r="G267" s="12" t="str">
        <f t="shared" si="14"/>
        <v>3:00 PM – 4:00 PM</v>
      </c>
      <c r="H267" s="8">
        <v>527</v>
      </c>
      <c r="I267" s="8">
        <v>1290</v>
      </c>
      <c r="J267" s="8">
        <v>9</v>
      </c>
      <c r="K267" s="8">
        <v>255</v>
      </c>
      <c r="L267" s="8">
        <v>1</v>
      </c>
      <c r="M267" s="8">
        <v>0</v>
      </c>
      <c r="N267" s="8">
        <v>4</v>
      </c>
      <c r="O267" s="8">
        <v>255</v>
      </c>
      <c r="P267" s="8">
        <v>2</v>
      </c>
    </row>
    <row r="268" spans="1:16" x14ac:dyDescent="0.3">
      <c r="A268" s="9" t="s">
        <v>78</v>
      </c>
      <c r="B268" s="9">
        <v>45646</v>
      </c>
      <c r="C268" s="7">
        <v>2024</v>
      </c>
      <c r="D268" s="7" t="str">
        <f t="shared" si="12"/>
        <v>December</v>
      </c>
      <c r="E268" s="7" t="str">
        <f t="shared" si="13"/>
        <v>Friday</v>
      </c>
      <c r="F268" s="10">
        <v>0.28194444444444444</v>
      </c>
      <c r="G268" s="10" t="str">
        <f t="shared" si="14"/>
        <v>6:00 AM – 7:00 AM</v>
      </c>
      <c r="H268" s="7">
        <v>490</v>
      </c>
      <c r="I268" s="7">
        <v>793</v>
      </c>
      <c r="J268" s="7">
        <v>9</v>
      </c>
      <c r="K268" s="7">
        <v>812</v>
      </c>
      <c r="L268" s="7">
        <v>1</v>
      </c>
      <c r="M268" s="7">
        <v>0</v>
      </c>
      <c r="N268" s="7">
        <v>0</v>
      </c>
      <c r="O268" s="7">
        <v>804</v>
      </c>
      <c r="P268" s="7">
        <v>3</v>
      </c>
    </row>
    <row r="269" spans="1:16" x14ac:dyDescent="0.3">
      <c r="A269" s="11" t="s">
        <v>98</v>
      </c>
      <c r="B269" s="11">
        <v>45626</v>
      </c>
      <c r="C269" s="8">
        <v>2024</v>
      </c>
      <c r="D269" s="8" t="str">
        <f t="shared" si="12"/>
        <v>November</v>
      </c>
      <c r="E269" s="8" t="str">
        <f t="shared" si="13"/>
        <v>Saturday</v>
      </c>
      <c r="F269" s="12">
        <v>0.53055555555555556</v>
      </c>
      <c r="G269" s="12" t="str">
        <f t="shared" si="14"/>
        <v>12:00 PM – 1:00 PM</v>
      </c>
      <c r="H269" s="8">
        <v>470</v>
      </c>
      <c r="I269" s="8">
        <v>780</v>
      </c>
      <c r="J269" s="8">
        <v>9</v>
      </c>
      <c r="K269" s="8">
        <v>254</v>
      </c>
      <c r="L269" s="8">
        <v>1</v>
      </c>
      <c r="M269" s="8">
        <v>0</v>
      </c>
      <c r="N269" s="8">
        <v>1</v>
      </c>
      <c r="O269" s="8">
        <v>255</v>
      </c>
      <c r="P269" s="8">
        <v>0</v>
      </c>
    </row>
    <row r="270" spans="1:16" x14ac:dyDescent="0.3">
      <c r="A270" s="9" t="s">
        <v>177</v>
      </c>
      <c r="B270" s="9">
        <v>45547</v>
      </c>
      <c r="C270" s="7">
        <v>2024</v>
      </c>
      <c r="D270" s="7" t="str">
        <f t="shared" si="12"/>
        <v>September</v>
      </c>
      <c r="E270" s="7" t="str">
        <f t="shared" si="13"/>
        <v>Thursday</v>
      </c>
      <c r="F270" s="10">
        <v>0.39652777777777776</v>
      </c>
      <c r="G270" s="10" t="str">
        <f t="shared" si="14"/>
        <v>9:00 AM – 10:00 AM</v>
      </c>
      <c r="H270" s="7">
        <v>391</v>
      </c>
      <c r="I270" s="7">
        <v>635</v>
      </c>
      <c r="J270" s="7">
        <v>9</v>
      </c>
      <c r="K270" s="7">
        <v>468</v>
      </c>
      <c r="L270" s="7">
        <v>2</v>
      </c>
      <c r="M270" s="7">
        <v>7</v>
      </c>
      <c r="N270" s="7">
        <v>5</v>
      </c>
      <c r="O270" s="7">
        <v>497</v>
      </c>
      <c r="P270" s="7">
        <v>4</v>
      </c>
    </row>
    <row r="271" spans="1:16" x14ac:dyDescent="0.3">
      <c r="A271" s="11" t="s">
        <v>197</v>
      </c>
      <c r="B271" s="11">
        <v>45527</v>
      </c>
      <c r="C271" s="8">
        <v>2024</v>
      </c>
      <c r="D271" s="8" t="str">
        <f t="shared" si="12"/>
        <v>August</v>
      </c>
      <c r="E271" s="8" t="str">
        <f t="shared" si="13"/>
        <v>Friday</v>
      </c>
      <c r="F271" s="12">
        <v>0.31388888888888888</v>
      </c>
      <c r="G271" s="12" t="str">
        <f t="shared" si="14"/>
        <v>7:00 AM – 8:00 AM</v>
      </c>
      <c r="H271" s="8">
        <v>371</v>
      </c>
      <c r="I271" s="8">
        <v>575</v>
      </c>
      <c r="J271" s="8">
        <v>9</v>
      </c>
      <c r="K271" s="8">
        <v>93</v>
      </c>
      <c r="L271" s="8">
        <v>2</v>
      </c>
      <c r="M271" s="8">
        <v>6</v>
      </c>
      <c r="N271" s="8">
        <v>2</v>
      </c>
      <c r="O271" s="8">
        <v>93</v>
      </c>
      <c r="P271" s="8">
        <v>0</v>
      </c>
    </row>
    <row r="272" spans="1:16" x14ac:dyDescent="0.3">
      <c r="A272" s="9" t="s">
        <v>243</v>
      </c>
      <c r="B272" s="9">
        <v>45481</v>
      </c>
      <c r="C272" s="7">
        <v>2024</v>
      </c>
      <c r="D272" s="7" t="str">
        <f t="shared" si="12"/>
        <v>July</v>
      </c>
      <c r="E272" s="7" t="str">
        <f t="shared" si="13"/>
        <v>Monday</v>
      </c>
      <c r="F272" s="10">
        <v>0.30625000000000002</v>
      </c>
      <c r="G272" s="10" t="str">
        <f t="shared" si="14"/>
        <v>7:00 AM – 8:00 AM</v>
      </c>
      <c r="H272" s="7">
        <v>325</v>
      </c>
      <c r="I272" s="7">
        <v>571</v>
      </c>
      <c r="J272" s="7">
        <v>9</v>
      </c>
      <c r="K272" s="7">
        <v>52</v>
      </c>
      <c r="L272" s="7">
        <v>1</v>
      </c>
      <c r="M272" s="7">
        <v>0</v>
      </c>
      <c r="N272" s="7">
        <v>1</v>
      </c>
      <c r="O272" s="7">
        <v>50</v>
      </c>
      <c r="P272" s="7">
        <v>0</v>
      </c>
    </row>
    <row r="273" spans="1:16" x14ac:dyDescent="0.3">
      <c r="A273" s="11" t="s">
        <v>257</v>
      </c>
      <c r="B273" s="11">
        <v>45467</v>
      </c>
      <c r="C273" s="8">
        <v>2024</v>
      </c>
      <c r="D273" s="8" t="str">
        <f t="shared" si="12"/>
        <v>June</v>
      </c>
      <c r="E273" s="8" t="str">
        <f t="shared" si="13"/>
        <v>Monday</v>
      </c>
      <c r="F273" s="12">
        <v>0.27500000000000002</v>
      </c>
      <c r="G273" s="12" t="str">
        <f t="shared" si="14"/>
        <v>6:00 AM – 7:00 AM</v>
      </c>
      <c r="H273" s="8">
        <v>311</v>
      </c>
      <c r="I273" s="8">
        <v>524</v>
      </c>
      <c r="J273" s="8">
        <v>9</v>
      </c>
      <c r="K273" s="8">
        <v>116</v>
      </c>
      <c r="L273" s="8">
        <v>1</v>
      </c>
      <c r="M273" s="8">
        <v>1</v>
      </c>
      <c r="N273" s="8">
        <v>0</v>
      </c>
      <c r="O273" s="8">
        <v>132</v>
      </c>
      <c r="P273" s="8">
        <v>1</v>
      </c>
    </row>
    <row r="274" spans="1:16" x14ac:dyDescent="0.3">
      <c r="A274" s="9" t="s">
        <v>279</v>
      </c>
      <c r="B274" s="9">
        <v>45445</v>
      </c>
      <c r="C274" s="7">
        <v>2024</v>
      </c>
      <c r="D274" s="7" t="str">
        <f t="shared" si="12"/>
        <v>June</v>
      </c>
      <c r="E274" s="7" t="str">
        <f t="shared" si="13"/>
        <v>Sunday</v>
      </c>
      <c r="F274" s="10">
        <v>0.29097222222222224</v>
      </c>
      <c r="G274" s="10" t="str">
        <f t="shared" si="14"/>
        <v>6:00 AM – 7:00 AM</v>
      </c>
      <c r="H274" s="7">
        <v>289</v>
      </c>
      <c r="I274" s="7">
        <v>514</v>
      </c>
      <c r="J274" s="7">
        <v>9</v>
      </c>
      <c r="K274" s="7">
        <v>104</v>
      </c>
      <c r="L274" s="7">
        <v>3</v>
      </c>
      <c r="M274" s="7">
        <v>1</v>
      </c>
      <c r="N274" s="7">
        <v>3</v>
      </c>
      <c r="O274" s="7">
        <v>129</v>
      </c>
      <c r="P274" s="7">
        <v>2</v>
      </c>
    </row>
    <row r="275" spans="1:16" x14ac:dyDescent="0.3">
      <c r="A275" s="11" t="s">
        <v>295</v>
      </c>
      <c r="B275" s="11">
        <v>45429</v>
      </c>
      <c r="C275" s="8">
        <v>2024</v>
      </c>
      <c r="D275" s="8" t="str">
        <f t="shared" si="12"/>
        <v>May</v>
      </c>
      <c r="E275" s="8" t="str">
        <f t="shared" si="13"/>
        <v>Friday</v>
      </c>
      <c r="F275" s="12">
        <v>0.26874999999999999</v>
      </c>
      <c r="G275" s="12" t="str">
        <f t="shared" si="14"/>
        <v>6:00 AM – 7:00 AM</v>
      </c>
      <c r="H275" s="8">
        <v>273</v>
      </c>
      <c r="I275" s="8">
        <v>493</v>
      </c>
      <c r="J275" s="8">
        <v>9</v>
      </c>
      <c r="K275" s="8">
        <v>83</v>
      </c>
      <c r="L275" s="8">
        <v>2</v>
      </c>
      <c r="M275" s="8">
        <v>1</v>
      </c>
      <c r="N275" s="8">
        <v>1</v>
      </c>
      <c r="O275" s="8">
        <v>83</v>
      </c>
      <c r="P275" s="8">
        <v>0</v>
      </c>
    </row>
    <row r="276" spans="1:16" x14ac:dyDescent="0.3">
      <c r="A276" s="9" t="s">
        <v>309</v>
      </c>
      <c r="B276" s="9">
        <v>45415</v>
      </c>
      <c r="C276" s="7">
        <v>2024</v>
      </c>
      <c r="D276" s="7" t="str">
        <f t="shared" si="12"/>
        <v>May</v>
      </c>
      <c r="E276" s="7" t="str">
        <f t="shared" si="13"/>
        <v>Friday</v>
      </c>
      <c r="F276" s="10">
        <v>0.25277777777777777</v>
      </c>
      <c r="G276" s="10" t="str">
        <f t="shared" si="14"/>
        <v>6:00 AM – 7:00 AM</v>
      </c>
      <c r="H276" s="7">
        <v>259</v>
      </c>
      <c r="I276" s="7">
        <v>470</v>
      </c>
      <c r="J276" s="7">
        <v>9</v>
      </c>
      <c r="K276" s="7">
        <v>115</v>
      </c>
      <c r="L276" s="7">
        <v>1</v>
      </c>
      <c r="M276" s="7">
        <v>0</v>
      </c>
      <c r="N276" s="7">
        <v>1</v>
      </c>
      <c r="O276" s="7">
        <v>128</v>
      </c>
      <c r="P276" s="7">
        <v>1</v>
      </c>
    </row>
    <row r="277" spans="1:16" x14ac:dyDescent="0.3">
      <c r="A277" s="11" t="s">
        <v>316</v>
      </c>
      <c r="B277" s="11">
        <v>45408</v>
      </c>
      <c r="C277" s="8">
        <v>2024</v>
      </c>
      <c r="D277" s="8" t="str">
        <f t="shared" si="12"/>
        <v>April</v>
      </c>
      <c r="E277" s="8" t="str">
        <f t="shared" si="13"/>
        <v>Friday</v>
      </c>
      <c r="F277" s="12">
        <v>0.2388888888888889</v>
      </c>
      <c r="G277" s="12" t="str">
        <f t="shared" si="14"/>
        <v>5:00 AM – 6:00 AM</v>
      </c>
      <c r="H277" s="8">
        <v>252</v>
      </c>
      <c r="I277" s="8">
        <v>456</v>
      </c>
      <c r="J277" s="8">
        <v>9</v>
      </c>
      <c r="K277" s="8">
        <v>123</v>
      </c>
      <c r="L277" s="8">
        <v>1</v>
      </c>
      <c r="M277" s="8">
        <v>0</v>
      </c>
      <c r="N277" s="8">
        <v>1</v>
      </c>
      <c r="O277" s="8">
        <v>122</v>
      </c>
      <c r="P277" s="8">
        <v>3</v>
      </c>
    </row>
    <row r="278" spans="1:16" x14ac:dyDescent="0.3">
      <c r="A278" s="9" t="s">
        <v>321</v>
      </c>
      <c r="B278" s="9">
        <v>45403</v>
      </c>
      <c r="C278" s="7">
        <v>2024</v>
      </c>
      <c r="D278" s="7" t="str">
        <f t="shared" si="12"/>
        <v>April</v>
      </c>
      <c r="E278" s="7" t="str">
        <f t="shared" si="13"/>
        <v>Sunday</v>
      </c>
      <c r="F278" s="10">
        <v>0.19791666666666666</v>
      </c>
      <c r="G278" s="10" t="str">
        <f t="shared" si="14"/>
        <v>4:00 AM – 5:00 AM</v>
      </c>
      <c r="H278" s="7">
        <v>247</v>
      </c>
      <c r="I278" s="7">
        <v>451</v>
      </c>
      <c r="J278" s="7">
        <v>9</v>
      </c>
      <c r="K278" s="7">
        <v>150</v>
      </c>
      <c r="L278" s="7">
        <v>1</v>
      </c>
      <c r="M278" s="7">
        <v>0</v>
      </c>
      <c r="N278" s="7">
        <v>1</v>
      </c>
      <c r="O278" s="7">
        <v>147</v>
      </c>
      <c r="P278" s="7">
        <v>1</v>
      </c>
    </row>
    <row r="279" spans="1:16" x14ac:dyDescent="0.3">
      <c r="A279" s="11" t="s">
        <v>323</v>
      </c>
      <c r="B279" s="11">
        <v>45401</v>
      </c>
      <c r="C279" s="8">
        <v>2024</v>
      </c>
      <c r="D279" s="8" t="str">
        <f t="shared" si="12"/>
        <v>April</v>
      </c>
      <c r="E279" s="8" t="str">
        <f t="shared" si="13"/>
        <v>Friday</v>
      </c>
      <c r="F279" s="12">
        <v>0.23680555555555555</v>
      </c>
      <c r="G279" s="12" t="str">
        <f t="shared" si="14"/>
        <v>5:00 AM – 6:00 AM</v>
      </c>
      <c r="H279" s="8">
        <v>245</v>
      </c>
      <c r="I279" s="8">
        <v>447</v>
      </c>
      <c r="J279" s="8">
        <v>9</v>
      </c>
      <c r="K279" s="8">
        <v>134</v>
      </c>
      <c r="L279" s="8">
        <v>1</v>
      </c>
      <c r="M279" s="8">
        <v>0</v>
      </c>
      <c r="N279" s="8">
        <v>1</v>
      </c>
      <c r="O279" s="8">
        <v>135</v>
      </c>
      <c r="P279" s="8">
        <v>8</v>
      </c>
    </row>
    <row r="280" spans="1:16" x14ac:dyDescent="0.3">
      <c r="A280" s="9" t="s">
        <v>327</v>
      </c>
      <c r="B280" s="9">
        <v>45397</v>
      </c>
      <c r="C280" s="7">
        <v>2024</v>
      </c>
      <c r="D280" s="7" t="str">
        <f t="shared" si="12"/>
        <v>April</v>
      </c>
      <c r="E280" s="7" t="str">
        <f t="shared" si="13"/>
        <v>Monday</v>
      </c>
      <c r="F280" s="10">
        <v>0.24791666666666667</v>
      </c>
      <c r="G280" s="10" t="str">
        <f t="shared" si="14"/>
        <v>5:00 AM – 6:00 AM</v>
      </c>
      <c r="H280" s="7">
        <v>241</v>
      </c>
      <c r="I280" s="7">
        <v>422</v>
      </c>
      <c r="J280" s="7">
        <v>9</v>
      </c>
      <c r="K280" s="7">
        <v>219</v>
      </c>
      <c r="L280" s="7">
        <v>1</v>
      </c>
      <c r="M280" s="7">
        <v>5</v>
      </c>
      <c r="N280" s="7">
        <v>10</v>
      </c>
      <c r="O280" s="7">
        <v>227</v>
      </c>
      <c r="P280" s="7">
        <v>8</v>
      </c>
    </row>
    <row r="281" spans="1:16" x14ac:dyDescent="0.3">
      <c r="A281" s="11" t="s">
        <v>328</v>
      </c>
      <c r="B281" s="11">
        <v>45396</v>
      </c>
      <c r="C281" s="8">
        <v>2024</v>
      </c>
      <c r="D281" s="8" t="str">
        <f t="shared" si="12"/>
        <v>April</v>
      </c>
      <c r="E281" s="8" t="str">
        <f t="shared" si="13"/>
        <v>Sunday</v>
      </c>
      <c r="F281" s="12">
        <v>0.25763888888888886</v>
      </c>
      <c r="G281" s="12" t="str">
        <f t="shared" si="14"/>
        <v>6:00 AM – 7:00 AM</v>
      </c>
      <c r="H281" s="8">
        <v>240</v>
      </c>
      <c r="I281" s="8">
        <v>414</v>
      </c>
      <c r="J281" s="8">
        <v>9</v>
      </c>
      <c r="K281" s="8">
        <v>309</v>
      </c>
      <c r="L281" s="8">
        <v>1</v>
      </c>
      <c r="M281" s="8">
        <v>2</v>
      </c>
      <c r="N281" s="8">
        <v>0</v>
      </c>
      <c r="O281" s="8">
        <v>297</v>
      </c>
      <c r="P281" s="8">
        <v>18</v>
      </c>
    </row>
    <row r="282" spans="1:16" x14ac:dyDescent="0.3">
      <c r="A282" s="9" t="s">
        <v>371</v>
      </c>
      <c r="B282" s="9">
        <v>45354</v>
      </c>
      <c r="C282" s="7">
        <v>2024</v>
      </c>
      <c r="D282" s="7" t="str">
        <f t="shared" si="12"/>
        <v>March</v>
      </c>
      <c r="E282" s="7" t="str">
        <f t="shared" si="13"/>
        <v>Sunday</v>
      </c>
      <c r="F282" s="10">
        <v>0.13541666666666666</v>
      </c>
      <c r="G282" s="10" t="str">
        <f t="shared" si="14"/>
        <v>3:00 AM – 4:00 AM</v>
      </c>
      <c r="H282" s="7">
        <v>197</v>
      </c>
      <c r="I282" s="7">
        <v>132</v>
      </c>
      <c r="J282" s="7">
        <v>9</v>
      </c>
      <c r="K282" s="7">
        <v>93</v>
      </c>
      <c r="L282" s="7">
        <v>1</v>
      </c>
      <c r="M282" s="7">
        <v>0</v>
      </c>
      <c r="N282" s="7">
        <v>0</v>
      </c>
      <c r="O282" s="7">
        <v>96</v>
      </c>
      <c r="P282" s="7">
        <v>1</v>
      </c>
    </row>
    <row r="283" spans="1:16" x14ac:dyDescent="0.3">
      <c r="A283" s="11" t="s">
        <v>26</v>
      </c>
      <c r="B283" s="11">
        <v>45698</v>
      </c>
      <c r="C283" s="8">
        <v>2025</v>
      </c>
      <c r="D283" s="8" t="str">
        <f t="shared" si="12"/>
        <v>February</v>
      </c>
      <c r="E283" s="8" t="str">
        <f t="shared" si="13"/>
        <v>Monday</v>
      </c>
      <c r="F283" s="12">
        <v>0.62847222222222221</v>
      </c>
      <c r="G283" s="12" t="str">
        <f t="shared" si="14"/>
        <v>3:00 PM – 4:00 PM</v>
      </c>
      <c r="H283" s="8">
        <v>542</v>
      </c>
      <c r="I283" s="8">
        <v>1293</v>
      </c>
      <c r="J283" s="8">
        <v>8</v>
      </c>
      <c r="K283" s="8">
        <v>245</v>
      </c>
      <c r="L283" s="8">
        <v>1</v>
      </c>
      <c r="M283" s="8">
        <v>1</v>
      </c>
      <c r="N283" s="8">
        <v>3</v>
      </c>
      <c r="O283" s="8">
        <v>249</v>
      </c>
      <c r="P283" s="8">
        <v>-2</v>
      </c>
    </row>
    <row r="284" spans="1:16" x14ac:dyDescent="0.3">
      <c r="A284" s="9" t="s">
        <v>40</v>
      </c>
      <c r="B284" s="9">
        <v>45684</v>
      </c>
      <c r="C284" s="7">
        <v>2025</v>
      </c>
      <c r="D284" s="7" t="str">
        <f t="shared" si="12"/>
        <v>January</v>
      </c>
      <c r="E284" s="7" t="str">
        <f t="shared" si="13"/>
        <v>Monday</v>
      </c>
      <c r="F284" s="10">
        <v>0.6020833333333333</v>
      </c>
      <c r="G284" s="10" t="str">
        <f t="shared" si="14"/>
        <v>2:00 PM – 3:00 PM</v>
      </c>
      <c r="H284" s="7">
        <v>528</v>
      </c>
      <c r="I284" s="7">
        <v>1292</v>
      </c>
      <c r="J284" s="7">
        <v>8</v>
      </c>
      <c r="K284" s="7">
        <v>147</v>
      </c>
      <c r="L284" s="7">
        <v>2</v>
      </c>
      <c r="M284" s="7">
        <v>0</v>
      </c>
      <c r="N284" s="7">
        <v>1</v>
      </c>
      <c r="O284" s="7">
        <v>147</v>
      </c>
      <c r="P284" s="7">
        <v>2</v>
      </c>
    </row>
    <row r="285" spans="1:16" x14ac:dyDescent="0.3">
      <c r="A285" s="11" t="s">
        <v>47</v>
      </c>
      <c r="B285" s="11">
        <v>45677</v>
      </c>
      <c r="C285" s="8">
        <v>2025</v>
      </c>
      <c r="D285" s="8" t="str">
        <f t="shared" si="12"/>
        <v>January</v>
      </c>
      <c r="E285" s="8" t="str">
        <f t="shared" si="13"/>
        <v>Monday</v>
      </c>
      <c r="F285" s="12">
        <v>0.61458333333333337</v>
      </c>
      <c r="G285" s="12" t="str">
        <f t="shared" si="14"/>
        <v>2:00 PM – 3:00 PM</v>
      </c>
      <c r="H285" s="8">
        <v>521</v>
      </c>
      <c r="I285" s="8">
        <v>1285</v>
      </c>
      <c r="J285" s="8">
        <v>8</v>
      </c>
      <c r="K285" s="8">
        <v>149</v>
      </c>
      <c r="L285" s="8">
        <v>1</v>
      </c>
      <c r="M285" s="8">
        <v>0</v>
      </c>
      <c r="N285" s="8">
        <v>2</v>
      </c>
      <c r="O285" s="8">
        <v>151</v>
      </c>
      <c r="P285" s="8">
        <v>2</v>
      </c>
    </row>
    <row r="286" spans="1:16" x14ac:dyDescent="0.3">
      <c r="A286" s="9" t="s">
        <v>88</v>
      </c>
      <c r="B286" s="9">
        <v>45636</v>
      </c>
      <c r="C286" s="7">
        <v>2024</v>
      </c>
      <c r="D286" s="7" t="str">
        <f t="shared" si="12"/>
        <v>December</v>
      </c>
      <c r="E286" s="7" t="str">
        <f t="shared" si="13"/>
        <v>Tuesday</v>
      </c>
      <c r="F286" s="10">
        <v>0.56597222222222221</v>
      </c>
      <c r="G286" s="10" t="str">
        <f t="shared" si="14"/>
        <v>1:00 PM – 2:00 PM</v>
      </c>
      <c r="H286" s="7">
        <v>480</v>
      </c>
      <c r="I286" s="7">
        <v>787</v>
      </c>
      <c r="J286" s="7">
        <v>8</v>
      </c>
      <c r="K286" s="7">
        <v>443</v>
      </c>
      <c r="L286" s="7">
        <v>1</v>
      </c>
      <c r="M286" s="7">
        <v>0</v>
      </c>
      <c r="N286" s="7">
        <v>1</v>
      </c>
      <c r="O286" s="7">
        <v>442</v>
      </c>
      <c r="P286" s="7">
        <v>0</v>
      </c>
    </row>
    <row r="287" spans="1:16" x14ac:dyDescent="0.3">
      <c r="A287" s="11" t="s">
        <v>165</v>
      </c>
      <c r="B287" s="11">
        <v>45559</v>
      </c>
      <c r="C287" s="8">
        <v>2024</v>
      </c>
      <c r="D287" s="8" t="str">
        <f t="shared" si="12"/>
        <v>September</v>
      </c>
      <c r="E287" s="8" t="str">
        <f t="shared" si="13"/>
        <v>Tuesday</v>
      </c>
      <c r="F287" s="12">
        <v>0.59722222222222221</v>
      </c>
      <c r="G287" s="12" t="str">
        <f t="shared" si="14"/>
        <v>2:00 PM – 3:00 PM</v>
      </c>
      <c r="H287" s="8">
        <v>403</v>
      </c>
      <c r="I287" s="8">
        <v>670</v>
      </c>
      <c r="J287" s="8">
        <v>8</v>
      </c>
      <c r="K287" s="8">
        <v>529</v>
      </c>
      <c r="L287" s="8">
        <v>1</v>
      </c>
      <c r="M287" s="8">
        <v>6</v>
      </c>
      <c r="N287" s="8">
        <v>2</v>
      </c>
      <c r="O287" s="8">
        <v>521</v>
      </c>
      <c r="P287" s="8">
        <v>9</v>
      </c>
    </row>
    <row r="288" spans="1:16" x14ac:dyDescent="0.3">
      <c r="A288" s="9" t="s">
        <v>171</v>
      </c>
      <c r="B288" s="9">
        <v>45553</v>
      </c>
      <c r="C288" s="7">
        <v>2024</v>
      </c>
      <c r="D288" s="7" t="str">
        <f t="shared" si="12"/>
        <v>September</v>
      </c>
      <c r="E288" s="7" t="str">
        <f t="shared" si="13"/>
        <v>Wednesday</v>
      </c>
      <c r="F288" s="10">
        <v>0.30833333333333335</v>
      </c>
      <c r="G288" s="10" t="str">
        <f t="shared" si="14"/>
        <v>7:00 AM – 8:00 AM</v>
      </c>
      <c r="H288" s="7">
        <v>397</v>
      </c>
      <c r="I288" s="7">
        <v>652</v>
      </c>
      <c r="J288" s="7">
        <v>8</v>
      </c>
      <c r="K288" s="7">
        <v>211</v>
      </c>
      <c r="L288" s="7">
        <v>1</v>
      </c>
      <c r="M288" s="7">
        <v>2</v>
      </c>
      <c r="N288" s="7">
        <v>7</v>
      </c>
      <c r="O288" s="7">
        <v>240</v>
      </c>
      <c r="P288" s="7">
        <v>4</v>
      </c>
    </row>
    <row r="289" spans="1:16" x14ac:dyDescent="0.3">
      <c r="A289" s="11" t="s">
        <v>186</v>
      </c>
      <c r="B289" s="11">
        <v>45538</v>
      </c>
      <c r="C289" s="8">
        <v>2024</v>
      </c>
      <c r="D289" s="8" t="str">
        <f t="shared" si="12"/>
        <v>September</v>
      </c>
      <c r="E289" s="8" t="str">
        <f t="shared" si="13"/>
        <v>Tuesday</v>
      </c>
      <c r="F289" s="12">
        <v>0.29930555555555555</v>
      </c>
      <c r="G289" s="12" t="str">
        <f t="shared" si="14"/>
        <v>7:00 AM – 8:00 AM</v>
      </c>
      <c r="H289" s="8">
        <v>382</v>
      </c>
      <c r="I289" s="8">
        <v>599</v>
      </c>
      <c r="J289" s="8">
        <v>8</v>
      </c>
      <c r="K289" s="8">
        <v>197</v>
      </c>
      <c r="L289" s="8">
        <v>4</v>
      </c>
      <c r="M289" s="8">
        <v>0</v>
      </c>
      <c r="N289" s="8">
        <v>2</v>
      </c>
      <c r="O289" s="8">
        <v>199</v>
      </c>
      <c r="P289" s="8">
        <v>2</v>
      </c>
    </row>
    <row r="290" spans="1:16" x14ac:dyDescent="0.3">
      <c r="A290" s="9" t="s">
        <v>191</v>
      </c>
      <c r="B290" s="9">
        <v>45533</v>
      </c>
      <c r="C290" s="7">
        <v>2024</v>
      </c>
      <c r="D290" s="7" t="str">
        <f t="shared" si="12"/>
        <v>August</v>
      </c>
      <c r="E290" s="7" t="str">
        <f t="shared" si="13"/>
        <v>Thursday</v>
      </c>
      <c r="F290" s="10">
        <v>0.98333333333333328</v>
      </c>
      <c r="G290" s="10" t="str">
        <f t="shared" si="14"/>
        <v>11:00 PM – 12:00 AM</v>
      </c>
      <c r="H290" s="7">
        <v>377</v>
      </c>
      <c r="I290" s="7">
        <v>587</v>
      </c>
      <c r="J290" s="7">
        <v>8</v>
      </c>
      <c r="K290" s="7">
        <v>228</v>
      </c>
      <c r="L290" s="7">
        <v>1</v>
      </c>
      <c r="M290" s="7">
        <v>0</v>
      </c>
      <c r="N290" s="7">
        <v>2</v>
      </c>
      <c r="O290" s="7">
        <v>235</v>
      </c>
      <c r="P290" s="7">
        <v>2</v>
      </c>
    </row>
    <row r="291" spans="1:16" x14ac:dyDescent="0.3">
      <c r="A291" s="11" t="s">
        <v>209</v>
      </c>
      <c r="B291" s="11">
        <v>45515</v>
      </c>
      <c r="C291" s="8">
        <v>2024</v>
      </c>
      <c r="D291" s="8" t="str">
        <f t="shared" si="12"/>
        <v>August</v>
      </c>
      <c r="E291" s="8" t="str">
        <f t="shared" si="13"/>
        <v>Sunday</v>
      </c>
      <c r="F291" s="12">
        <v>0.28194444444444444</v>
      </c>
      <c r="G291" s="12" t="str">
        <f t="shared" si="14"/>
        <v>6:00 AM – 7:00 AM</v>
      </c>
      <c r="H291" s="8">
        <v>359</v>
      </c>
      <c r="I291" s="8">
        <v>567</v>
      </c>
      <c r="J291" s="8">
        <v>8</v>
      </c>
      <c r="K291" s="8">
        <v>68</v>
      </c>
      <c r="L291" s="8">
        <v>1</v>
      </c>
      <c r="M291" s="8">
        <v>2</v>
      </c>
      <c r="N291" s="8">
        <v>0</v>
      </c>
      <c r="O291" s="8">
        <v>71</v>
      </c>
      <c r="P291" s="8">
        <v>0</v>
      </c>
    </row>
    <row r="292" spans="1:16" x14ac:dyDescent="0.3">
      <c r="A292" s="9" t="s">
        <v>215</v>
      </c>
      <c r="B292" s="9">
        <v>45509</v>
      </c>
      <c r="C292" s="7">
        <v>2024</v>
      </c>
      <c r="D292" s="7" t="str">
        <f t="shared" si="12"/>
        <v>August</v>
      </c>
      <c r="E292" s="7" t="str">
        <f t="shared" si="13"/>
        <v>Monday</v>
      </c>
      <c r="F292" s="10">
        <v>0.28194444444444444</v>
      </c>
      <c r="G292" s="10" t="str">
        <f t="shared" si="14"/>
        <v>6:00 AM – 7:00 AM</v>
      </c>
      <c r="H292" s="7">
        <v>353</v>
      </c>
      <c r="I292" s="7">
        <v>565</v>
      </c>
      <c r="J292" s="7">
        <v>8</v>
      </c>
      <c r="K292" s="7">
        <v>136</v>
      </c>
      <c r="L292" s="7">
        <v>1</v>
      </c>
      <c r="M292" s="7">
        <v>5</v>
      </c>
      <c r="N292" s="7">
        <v>0</v>
      </c>
      <c r="O292" s="7">
        <v>163</v>
      </c>
      <c r="P292" s="7">
        <v>0</v>
      </c>
    </row>
    <row r="293" spans="1:16" x14ac:dyDescent="0.3">
      <c r="A293" s="11" t="s">
        <v>236</v>
      </c>
      <c r="B293" s="11">
        <v>45488</v>
      </c>
      <c r="C293" s="8">
        <v>2024</v>
      </c>
      <c r="D293" s="8" t="str">
        <f t="shared" si="12"/>
        <v>July</v>
      </c>
      <c r="E293" s="8" t="str">
        <f t="shared" si="13"/>
        <v>Monday</v>
      </c>
      <c r="F293" s="12">
        <v>0.29375000000000001</v>
      </c>
      <c r="G293" s="12" t="str">
        <f t="shared" si="14"/>
        <v>7:00 AM – 8:00 AM</v>
      </c>
      <c r="H293" s="8">
        <v>332</v>
      </c>
      <c r="I293" s="8">
        <v>571</v>
      </c>
      <c r="J293" s="8">
        <v>8</v>
      </c>
      <c r="K293" s="8">
        <v>70</v>
      </c>
      <c r="L293" s="8">
        <v>1</v>
      </c>
      <c r="M293" s="8">
        <v>1</v>
      </c>
      <c r="N293" s="8">
        <v>1</v>
      </c>
      <c r="O293" s="8">
        <v>73</v>
      </c>
      <c r="P293" s="8">
        <v>0</v>
      </c>
    </row>
    <row r="294" spans="1:16" x14ac:dyDescent="0.3">
      <c r="A294" s="9" t="s">
        <v>269</v>
      </c>
      <c r="B294" s="9">
        <v>45455</v>
      </c>
      <c r="C294" s="7">
        <v>2024</v>
      </c>
      <c r="D294" s="7" t="str">
        <f t="shared" si="12"/>
        <v>June</v>
      </c>
      <c r="E294" s="7" t="str">
        <f t="shared" si="13"/>
        <v>Wednesday</v>
      </c>
      <c r="F294" s="10">
        <v>0.27986111111111112</v>
      </c>
      <c r="G294" s="10" t="str">
        <f t="shared" si="14"/>
        <v>6:00 AM – 7:00 AM</v>
      </c>
      <c r="H294" s="7">
        <v>299</v>
      </c>
      <c r="I294" s="7">
        <v>518</v>
      </c>
      <c r="J294" s="7">
        <v>8</v>
      </c>
      <c r="K294" s="7">
        <v>81</v>
      </c>
      <c r="L294" s="7">
        <v>1</v>
      </c>
      <c r="M294" s="7">
        <v>4</v>
      </c>
      <c r="N294" s="7">
        <v>2</v>
      </c>
      <c r="O294" s="7">
        <v>90</v>
      </c>
      <c r="P294" s="7">
        <v>1</v>
      </c>
    </row>
    <row r="295" spans="1:16" x14ac:dyDescent="0.3">
      <c r="A295" s="11" t="s">
        <v>336</v>
      </c>
      <c r="B295" s="11">
        <v>45388</v>
      </c>
      <c r="C295" s="8">
        <v>2024</v>
      </c>
      <c r="D295" s="8" t="str">
        <f t="shared" si="12"/>
        <v>April</v>
      </c>
      <c r="E295" s="8" t="str">
        <f t="shared" si="13"/>
        <v>Saturday</v>
      </c>
      <c r="F295" s="12">
        <v>0.38124999999999998</v>
      </c>
      <c r="G295" s="12" t="str">
        <f t="shared" si="14"/>
        <v>9:00 AM – 10:00 AM</v>
      </c>
      <c r="H295" s="8">
        <v>232</v>
      </c>
      <c r="I295" s="8">
        <v>344</v>
      </c>
      <c r="J295" s="8">
        <v>8</v>
      </c>
      <c r="K295" s="8">
        <v>146</v>
      </c>
      <c r="L295" s="8">
        <v>2</v>
      </c>
      <c r="M295" s="8">
        <v>8</v>
      </c>
      <c r="N295" s="8">
        <v>0</v>
      </c>
      <c r="O295" s="8">
        <v>147</v>
      </c>
      <c r="P295" s="8">
        <v>15</v>
      </c>
    </row>
    <row r="296" spans="1:16" x14ac:dyDescent="0.3">
      <c r="A296" s="9" t="s">
        <v>363</v>
      </c>
      <c r="B296" s="9">
        <v>45362</v>
      </c>
      <c r="C296" s="7">
        <v>2024</v>
      </c>
      <c r="D296" s="7" t="str">
        <f t="shared" si="12"/>
        <v>March</v>
      </c>
      <c r="E296" s="7" t="str">
        <f t="shared" si="13"/>
        <v>Monday</v>
      </c>
      <c r="F296" s="10">
        <v>0.19583333333333333</v>
      </c>
      <c r="G296" s="10" t="str">
        <f t="shared" si="14"/>
        <v>4:00 AM – 5:00 AM</v>
      </c>
      <c r="H296" s="7">
        <v>205</v>
      </c>
      <c r="I296" s="7">
        <v>137</v>
      </c>
      <c r="J296" s="7">
        <v>8</v>
      </c>
      <c r="K296" s="7">
        <v>141</v>
      </c>
      <c r="L296" s="7">
        <v>1</v>
      </c>
      <c r="M296" s="7">
        <v>2</v>
      </c>
      <c r="N296" s="7">
        <v>2</v>
      </c>
      <c r="O296" s="7">
        <v>141</v>
      </c>
      <c r="P296" s="7">
        <v>1</v>
      </c>
    </row>
    <row r="297" spans="1:16" x14ac:dyDescent="0.3">
      <c r="A297" s="11" t="s">
        <v>401</v>
      </c>
      <c r="B297" s="11">
        <v>45324</v>
      </c>
      <c r="C297" s="8">
        <v>2024</v>
      </c>
      <c r="D297" s="8" t="str">
        <f t="shared" si="12"/>
        <v>February</v>
      </c>
      <c r="E297" s="8" t="str">
        <f t="shared" si="13"/>
        <v>Friday</v>
      </c>
      <c r="F297" s="12">
        <v>0.15694444444444444</v>
      </c>
      <c r="G297" s="12" t="str">
        <f t="shared" si="14"/>
        <v>3:00 AM – 4:00 AM</v>
      </c>
      <c r="H297" s="8">
        <v>167</v>
      </c>
      <c r="I297" s="8">
        <v>121</v>
      </c>
      <c r="J297" s="8">
        <v>8</v>
      </c>
      <c r="K297" s="8">
        <v>53</v>
      </c>
      <c r="L297" s="8">
        <v>1</v>
      </c>
      <c r="M297" s="8">
        <v>0</v>
      </c>
      <c r="N297" s="8">
        <v>0</v>
      </c>
      <c r="O297" s="8">
        <v>49</v>
      </c>
      <c r="P297" s="8">
        <v>-1</v>
      </c>
    </row>
    <row r="298" spans="1:16" x14ac:dyDescent="0.3">
      <c r="A298" s="9" t="s">
        <v>403</v>
      </c>
      <c r="B298" s="9">
        <v>45322</v>
      </c>
      <c r="C298" s="7">
        <v>2024</v>
      </c>
      <c r="D298" s="7" t="str">
        <f t="shared" si="12"/>
        <v>January</v>
      </c>
      <c r="E298" s="7" t="str">
        <f t="shared" si="13"/>
        <v>Wednesday</v>
      </c>
      <c r="F298" s="10">
        <v>0.11805555555555555</v>
      </c>
      <c r="G298" s="10" t="str">
        <f t="shared" si="14"/>
        <v>2:00 AM – 3:00 AM</v>
      </c>
      <c r="H298" s="7">
        <v>165</v>
      </c>
      <c r="I298" s="7">
        <v>121</v>
      </c>
      <c r="J298" s="7">
        <v>8</v>
      </c>
      <c r="K298" s="7">
        <v>82</v>
      </c>
      <c r="L298" s="7">
        <v>1</v>
      </c>
      <c r="M298" s="7">
        <v>0</v>
      </c>
      <c r="N298" s="7">
        <v>0</v>
      </c>
      <c r="O298" s="7">
        <v>75</v>
      </c>
      <c r="P298" s="7">
        <v>0</v>
      </c>
    </row>
    <row r="299" spans="1:16" x14ac:dyDescent="0.3">
      <c r="A299" s="11" t="s">
        <v>14</v>
      </c>
      <c r="B299" s="11">
        <v>45710</v>
      </c>
      <c r="C299" s="8">
        <v>2025</v>
      </c>
      <c r="D299" s="8" t="str">
        <f t="shared" si="12"/>
        <v>February</v>
      </c>
      <c r="E299" s="8" t="str">
        <f t="shared" si="13"/>
        <v>Saturday</v>
      </c>
      <c r="F299" s="12">
        <v>0.31111111111111112</v>
      </c>
      <c r="G299" s="12" t="str">
        <f t="shared" si="14"/>
        <v>7:00 AM – 8:00 AM</v>
      </c>
      <c r="H299" s="8">
        <v>554</v>
      </c>
      <c r="I299" s="8">
        <v>1289</v>
      </c>
      <c r="J299" s="8">
        <v>7</v>
      </c>
      <c r="K299" s="8">
        <v>125</v>
      </c>
      <c r="L299" s="8">
        <v>2</v>
      </c>
      <c r="M299" s="8">
        <v>2</v>
      </c>
      <c r="N299" s="8">
        <v>2</v>
      </c>
      <c r="O299" s="8">
        <v>129</v>
      </c>
      <c r="P299" s="8">
        <v>0</v>
      </c>
    </row>
    <row r="300" spans="1:16" x14ac:dyDescent="0.3">
      <c r="A300" s="9" t="s">
        <v>29</v>
      </c>
      <c r="B300" s="9">
        <v>45695</v>
      </c>
      <c r="C300" s="7">
        <v>2025</v>
      </c>
      <c r="D300" s="7" t="str">
        <f t="shared" si="12"/>
        <v>February</v>
      </c>
      <c r="E300" s="7" t="str">
        <f t="shared" si="13"/>
        <v>Friday</v>
      </c>
      <c r="F300" s="10">
        <v>0.65069444444444446</v>
      </c>
      <c r="G300" s="10" t="str">
        <f t="shared" si="14"/>
        <v>3:00 PM – 4:00 PM</v>
      </c>
      <c r="H300" s="7">
        <v>539</v>
      </c>
      <c r="I300" s="7">
        <v>1295</v>
      </c>
      <c r="J300" s="7">
        <v>7</v>
      </c>
      <c r="K300" s="7">
        <v>45</v>
      </c>
      <c r="L300" s="7">
        <v>1</v>
      </c>
      <c r="M300" s="7">
        <v>0</v>
      </c>
      <c r="N300" s="7">
        <v>2</v>
      </c>
      <c r="O300" s="7">
        <v>46</v>
      </c>
      <c r="P300" s="7">
        <v>0</v>
      </c>
    </row>
    <row r="301" spans="1:16" x14ac:dyDescent="0.3">
      <c r="A301" s="11" t="s">
        <v>52</v>
      </c>
      <c r="B301" s="11">
        <v>45672</v>
      </c>
      <c r="C301" s="8">
        <v>2025</v>
      </c>
      <c r="D301" s="8" t="str">
        <f t="shared" si="12"/>
        <v>January</v>
      </c>
      <c r="E301" s="8" t="str">
        <f t="shared" si="13"/>
        <v>Wednesday</v>
      </c>
      <c r="F301" s="12">
        <v>0.59097222222222223</v>
      </c>
      <c r="G301" s="12" t="str">
        <f t="shared" si="14"/>
        <v>2:00 PM – 3:00 PM</v>
      </c>
      <c r="H301" s="8">
        <v>516</v>
      </c>
      <c r="I301" s="8">
        <v>1274</v>
      </c>
      <c r="J301" s="8">
        <v>7</v>
      </c>
      <c r="K301" s="8">
        <v>163</v>
      </c>
      <c r="L301" s="8">
        <v>1</v>
      </c>
      <c r="M301" s="8">
        <v>0</v>
      </c>
      <c r="N301" s="8">
        <v>1</v>
      </c>
      <c r="O301" s="8">
        <v>162</v>
      </c>
      <c r="P301" s="8">
        <v>0</v>
      </c>
    </row>
    <row r="302" spans="1:16" x14ac:dyDescent="0.3">
      <c r="A302" s="9" t="s">
        <v>69</v>
      </c>
      <c r="B302" s="9">
        <v>45655</v>
      </c>
      <c r="C302" s="7">
        <v>2024</v>
      </c>
      <c r="D302" s="7" t="str">
        <f t="shared" si="12"/>
        <v>December</v>
      </c>
      <c r="E302" s="7" t="str">
        <f t="shared" si="13"/>
        <v>Sunday</v>
      </c>
      <c r="F302" s="10">
        <v>0.59722222222222221</v>
      </c>
      <c r="G302" s="10" t="str">
        <f t="shared" si="14"/>
        <v>2:00 PM – 3:00 PM</v>
      </c>
      <c r="H302" s="7">
        <v>499</v>
      </c>
      <c r="I302" s="7">
        <v>824</v>
      </c>
      <c r="J302" s="7">
        <v>7</v>
      </c>
      <c r="K302" s="7">
        <v>1505</v>
      </c>
      <c r="L302" s="7">
        <v>1</v>
      </c>
      <c r="M302" s="7">
        <v>3</v>
      </c>
      <c r="N302" s="7">
        <v>2</v>
      </c>
      <c r="O302" s="7">
        <v>1501</v>
      </c>
      <c r="P302" s="7">
        <v>4</v>
      </c>
    </row>
    <row r="303" spans="1:16" x14ac:dyDescent="0.3">
      <c r="A303" s="11" t="s">
        <v>74</v>
      </c>
      <c r="B303" s="11">
        <v>45650</v>
      </c>
      <c r="C303" s="8">
        <v>2024</v>
      </c>
      <c r="D303" s="8" t="str">
        <f t="shared" si="12"/>
        <v>December</v>
      </c>
      <c r="E303" s="8" t="str">
        <f t="shared" si="13"/>
        <v>Tuesday</v>
      </c>
      <c r="F303" s="12">
        <v>0.54236111111111107</v>
      </c>
      <c r="G303" s="12" t="str">
        <f t="shared" si="14"/>
        <v>1:00 PM – 2:00 PM</v>
      </c>
      <c r="H303" s="8">
        <v>494</v>
      </c>
      <c r="I303" s="8">
        <v>793</v>
      </c>
      <c r="J303" s="8">
        <v>7</v>
      </c>
      <c r="K303" s="8">
        <v>982</v>
      </c>
      <c r="L303" s="8">
        <v>1</v>
      </c>
      <c r="M303" s="8">
        <v>1</v>
      </c>
      <c r="N303" s="8">
        <v>1</v>
      </c>
      <c r="O303" s="8">
        <v>988</v>
      </c>
      <c r="P303" s="8">
        <v>1</v>
      </c>
    </row>
    <row r="304" spans="1:16" x14ac:dyDescent="0.3">
      <c r="A304" s="9" t="s">
        <v>105</v>
      </c>
      <c r="B304" s="9">
        <v>45619</v>
      </c>
      <c r="C304" s="7">
        <v>2024</v>
      </c>
      <c r="D304" s="7" t="str">
        <f t="shared" si="12"/>
        <v>November</v>
      </c>
      <c r="E304" s="7" t="str">
        <f t="shared" si="13"/>
        <v>Saturday</v>
      </c>
      <c r="F304" s="10">
        <v>0.58402777777777781</v>
      </c>
      <c r="G304" s="10" t="str">
        <f t="shared" si="14"/>
        <v>2:00 PM – 3:00 PM</v>
      </c>
      <c r="H304" s="7">
        <v>463</v>
      </c>
      <c r="I304" s="7">
        <v>775</v>
      </c>
      <c r="J304" s="7">
        <v>7</v>
      </c>
      <c r="K304" s="7">
        <v>260</v>
      </c>
      <c r="L304" s="7">
        <v>1</v>
      </c>
      <c r="M304" s="7">
        <v>0</v>
      </c>
      <c r="N304" s="7">
        <v>0</v>
      </c>
      <c r="O304" s="7">
        <v>256</v>
      </c>
      <c r="P304" s="7">
        <v>0</v>
      </c>
    </row>
    <row r="305" spans="1:16" x14ac:dyDescent="0.3">
      <c r="A305" s="11" t="s">
        <v>150</v>
      </c>
      <c r="B305" s="11">
        <v>45574</v>
      </c>
      <c r="C305" s="8">
        <v>2024</v>
      </c>
      <c r="D305" s="8" t="str">
        <f t="shared" si="12"/>
        <v>October</v>
      </c>
      <c r="E305" s="8" t="str">
        <f t="shared" si="13"/>
        <v>Wednesday</v>
      </c>
      <c r="F305" s="12">
        <v>0.30277777777777776</v>
      </c>
      <c r="G305" s="12" t="str">
        <f t="shared" si="14"/>
        <v>7:00 AM – 8:00 AM</v>
      </c>
      <c r="H305" s="8">
        <v>418</v>
      </c>
      <c r="I305" s="8">
        <v>731</v>
      </c>
      <c r="J305" s="8">
        <v>7</v>
      </c>
      <c r="K305" s="8">
        <v>281</v>
      </c>
      <c r="L305" s="8">
        <v>4</v>
      </c>
      <c r="M305" s="8">
        <v>2</v>
      </c>
      <c r="N305" s="8">
        <v>0</v>
      </c>
      <c r="O305" s="8">
        <v>280</v>
      </c>
      <c r="P305" s="8">
        <v>9</v>
      </c>
    </row>
    <row r="306" spans="1:16" x14ac:dyDescent="0.3">
      <c r="A306" s="9" t="s">
        <v>179</v>
      </c>
      <c r="B306" s="9">
        <v>45545</v>
      </c>
      <c r="C306" s="7">
        <v>2024</v>
      </c>
      <c r="D306" s="7" t="str">
        <f t="shared" si="12"/>
        <v>September</v>
      </c>
      <c r="E306" s="7" t="str">
        <f t="shared" si="13"/>
        <v>Tuesday</v>
      </c>
      <c r="F306" s="10">
        <v>0.29930555555555555</v>
      </c>
      <c r="G306" s="10" t="str">
        <f t="shared" si="14"/>
        <v>7:00 AM – 8:00 AM</v>
      </c>
      <c r="H306" s="7">
        <v>389</v>
      </c>
      <c r="I306" s="7">
        <v>631</v>
      </c>
      <c r="J306" s="7">
        <v>7</v>
      </c>
      <c r="K306" s="7">
        <v>281</v>
      </c>
      <c r="L306" s="7">
        <v>1</v>
      </c>
      <c r="M306" s="7">
        <v>1</v>
      </c>
      <c r="N306" s="7">
        <v>3</v>
      </c>
      <c r="O306" s="7">
        <v>289</v>
      </c>
      <c r="P306" s="7">
        <v>4</v>
      </c>
    </row>
    <row r="307" spans="1:16" x14ac:dyDescent="0.3">
      <c r="A307" s="11" t="s">
        <v>187</v>
      </c>
      <c r="B307" s="11">
        <v>45537</v>
      </c>
      <c r="C307" s="8">
        <v>2024</v>
      </c>
      <c r="D307" s="8" t="str">
        <f t="shared" si="12"/>
        <v>September</v>
      </c>
      <c r="E307" s="8" t="str">
        <f t="shared" si="13"/>
        <v>Monday</v>
      </c>
      <c r="F307" s="12">
        <v>0.37569444444444444</v>
      </c>
      <c r="G307" s="12" t="str">
        <f t="shared" si="14"/>
        <v>9:00 AM – 10:00 AM</v>
      </c>
      <c r="H307" s="8">
        <v>381</v>
      </c>
      <c r="I307" s="8">
        <v>597</v>
      </c>
      <c r="J307" s="8">
        <v>7</v>
      </c>
      <c r="K307" s="8">
        <v>82</v>
      </c>
      <c r="L307" s="8">
        <v>1</v>
      </c>
      <c r="M307" s="8">
        <v>1</v>
      </c>
      <c r="N307" s="8">
        <v>1</v>
      </c>
      <c r="O307" s="8">
        <v>83</v>
      </c>
      <c r="P307" s="8">
        <v>0</v>
      </c>
    </row>
    <row r="308" spans="1:16" x14ac:dyDescent="0.3">
      <c r="A308" s="9" t="s">
        <v>220</v>
      </c>
      <c r="B308" s="9">
        <v>45504</v>
      </c>
      <c r="C308" s="7">
        <v>2024</v>
      </c>
      <c r="D308" s="7" t="str">
        <f t="shared" si="12"/>
        <v>July</v>
      </c>
      <c r="E308" s="7" t="str">
        <f t="shared" si="13"/>
        <v>Wednesday</v>
      </c>
      <c r="F308" s="10">
        <v>0.27916666666666667</v>
      </c>
      <c r="G308" s="10" t="str">
        <f t="shared" si="14"/>
        <v>6:00 AM – 7:00 AM</v>
      </c>
      <c r="H308" s="7">
        <v>348</v>
      </c>
      <c r="I308" s="7">
        <v>566</v>
      </c>
      <c r="J308" s="7">
        <v>7</v>
      </c>
      <c r="K308" s="7">
        <v>151</v>
      </c>
      <c r="L308" s="7">
        <v>1</v>
      </c>
      <c r="M308" s="7">
        <v>2</v>
      </c>
      <c r="N308" s="7">
        <v>2</v>
      </c>
      <c r="O308" s="7">
        <v>179</v>
      </c>
      <c r="P308" s="7">
        <v>-1</v>
      </c>
    </row>
    <row r="309" spans="1:16" x14ac:dyDescent="0.3">
      <c r="A309" s="11" t="s">
        <v>234</v>
      </c>
      <c r="B309" s="11">
        <v>45490</v>
      </c>
      <c r="C309" s="8">
        <v>2024</v>
      </c>
      <c r="D309" s="8" t="str">
        <f t="shared" si="12"/>
        <v>July</v>
      </c>
      <c r="E309" s="8" t="str">
        <f t="shared" si="13"/>
        <v>Wednesday</v>
      </c>
      <c r="F309" s="12">
        <v>0.29097222222222224</v>
      </c>
      <c r="G309" s="12" t="str">
        <f t="shared" si="14"/>
        <v>6:00 AM – 7:00 AM</v>
      </c>
      <c r="H309" s="8">
        <v>334</v>
      </c>
      <c r="I309" s="8">
        <v>569</v>
      </c>
      <c r="J309" s="8">
        <v>7</v>
      </c>
      <c r="K309" s="8">
        <v>67</v>
      </c>
      <c r="L309" s="8">
        <v>1</v>
      </c>
      <c r="M309" s="8">
        <v>0</v>
      </c>
      <c r="N309" s="8">
        <v>1</v>
      </c>
      <c r="O309" s="8">
        <v>63</v>
      </c>
      <c r="P309" s="8">
        <v>0</v>
      </c>
    </row>
    <row r="310" spans="1:16" x14ac:dyDescent="0.3">
      <c r="A310" s="9" t="s">
        <v>235</v>
      </c>
      <c r="B310" s="9">
        <v>45489</v>
      </c>
      <c r="C310" s="7">
        <v>2024</v>
      </c>
      <c r="D310" s="7" t="str">
        <f t="shared" si="12"/>
        <v>July</v>
      </c>
      <c r="E310" s="7" t="str">
        <f t="shared" si="13"/>
        <v>Tuesday</v>
      </c>
      <c r="F310" s="10">
        <v>0.31527777777777777</v>
      </c>
      <c r="G310" s="10" t="str">
        <f t="shared" si="14"/>
        <v>7:00 AM – 8:00 AM</v>
      </c>
      <c r="H310" s="7">
        <v>333</v>
      </c>
      <c r="I310" s="7">
        <v>569</v>
      </c>
      <c r="J310" s="7">
        <v>7</v>
      </c>
      <c r="K310" s="7">
        <v>79</v>
      </c>
      <c r="L310" s="7">
        <v>1</v>
      </c>
      <c r="M310" s="7">
        <v>6</v>
      </c>
      <c r="N310" s="7">
        <v>3</v>
      </c>
      <c r="O310" s="7">
        <v>96</v>
      </c>
      <c r="P310" s="7">
        <v>-2</v>
      </c>
    </row>
    <row r="311" spans="1:16" x14ac:dyDescent="0.3">
      <c r="A311" s="11" t="s">
        <v>254</v>
      </c>
      <c r="B311" s="11">
        <v>45470</v>
      </c>
      <c r="C311" s="8">
        <v>2024</v>
      </c>
      <c r="D311" s="8" t="str">
        <f t="shared" si="12"/>
        <v>June</v>
      </c>
      <c r="E311" s="8" t="str">
        <f t="shared" si="13"/>
        <v>Thursday</v>
      </c>
      <c r="F311" s="12">
        <v>0.28194444444444444</v>
      </c>
      <c r="G311" s="12" t="str">
        <f t="shared" si="14"/>
        <v>6:00 AM – 7:00 AM</v>
      </c>
      <c r="H311" s="8">
        <v>314</v>
      </c>
      <c r="I311" s="8">
        <v>522</v>
      </c>
      <c r="J311" s="8">
        <v>7</v>
      </c>
      <c r="K311" s="8">
        <v>149</v>
      </c>
      <c r="L311" s="8">
        <v>1</v>
      </c>
      <c r="M311" s="8">
        <v>1</v>
      </c>
      <c r="N311" s="8">
        <v>2</v>
      </c>
      <c r="O311" s="8">
        <v>179</v>
      </c>
      <c r="P311" s="8">
        <v>-2</v>
      </c>
    </row>
    <row r="312" spans="1:16" x14ac:dyDescent="0.3">
      <c r="A312" s="9" t="s">
        <v>274</v>
      </c>
      <c r="B312" s="9">
        <v>45450</v>
      </c>
      <c r="C312" s="7">
        <v>2024</v>
      </c>
      <c r="D312" s="7" t="str">
        <f t="shared" si="12"/>
        <v>June</v>
      </c>
      <c r="E312" s="7" t="str">
        <f t="shared" si="13"/>
        <v>Friday</v>
      </c>
      <c r="F312" s="10">
        <v>0.32013888888888886</v>
      </c>
      <c r="G312" s="10" t="str">
        <f t="shared" si="14"/>
        <v>7:00 AM – 8:00 AM</v>
      </c>
      <c r="H312" s="7">
        <v>294</v>
      </c>
      <c r="I312" s="7">
        <v>513</v>
      </c>
      <c r="J312" s="7">
        <v>7</v>
      </c>
      <c r="K312" s="7">
        <v>63</v>
      </c>
      <c r="L312" s="7">
        <v>1</v>
      </c>
      <c r="M312" s="7">
        <v>1</v>
      </c>
      <c r="N312" s="7">
        <v>0</v>
      </c>
      <c r="O312" s="7">
        <v>73</v>
      </c>
      <c r="P312" s="7">
        <v>-1</v>
      </c>
    </row>
    <row r="313" spans="1:16" x14ac:dyDescent="0.3">
      <c r="A313" s="11" t="s">
        <v>285</v>
      </c>
      <c r="B313" s="11">
        <v>45439</v>
      </c>
      <c r="C313" s="8">
        <v>2024</v>
      </c>
      <c r="D313" s="8" t="str">
        <f t="shared" si="12"/>
        <v>May</v>
      </c>
      <c r="E313" s="8" t="str">
        <f t="shared" si="13"/>
        <v>Monday</v>
      </c>
      <c r="F313" s="12">
        <v>0.26666666666666666</v>
      </c>
      <c r="G313" s="12" t="str">
        <f t="shared" si="14"/>
        <v>6:00 AM – 7:00 AM</v>
      </c>
      <c r="H313" s="8">
        <v>283</v>
      </c>
      <c r="I313" s="8">
        <v>509</v>
      </c>
      <c r="J313" s="8">
        <v>7</v>
      </c>
      <c r="K313" s="8">
        <v>84</v>
      </c>
      <c r="L313" s="8">
        <v>2</v>
      </c>
      <c r="M313" s="8">
        <v>0</v>
      </c>
      <c r="N313" s="8">
        <v>0</v>
      </c>
      <c r="O313" s="8">
        <v>93</v>
      </c>
      <c r="P313" s="8">
        <v>2</v>
      </c>
    </row>
    <row r="314" spans="1:16" x14ac:dyDescent="0.3">
      <c r="A314" s="9" t="s">
        <v>289</v>
      </c>
      <c r="B314" s="9">
        <v>45435</v>
      </c>
      <c r="C314" s="7">
        <v>2024</v>
      </c>
      <c r="D314" s="7" t="str">
        <f t="shared" si="12"/>
        <v>May</v>
      </c>
      <c r="E314" s="7" t="str">
        <f t="shared" si="13"/>
        <v>Thursday</v>
      </c>
      <c r="F314" s="10">
        <v>0.33541666666666664</v>
      </c>
      <c r="G314" s="10" t="str">
        <f t="shared" si="14"/>
        <v>8:00 AM – 9:00 AM</v>
      </c>
      <c r="H314" s="7">
        <v>279</v>
      </c>
      <c r="I314" s="7">
        <v>503</v>
      </c>
      <c r="J314" s="7">
        <v>7</v>
      </c>
      <c r="K314" s="7">
        <v>280</v>
      </c>
      <c r="L314" s="7">
        <v>1</v>
      </c>
      <c r="M314" s="7">
        <v>4</v>
      </c>
      <c r="N314" s="7">
        <v>1</v>
      </c>
      <c r="O314" s="7">
        <v>322</v>
      </c>
      <c r="P314" s="7">
        <v>-1</v>
      </c>
    </row>
    <row r="315" spans="1:16" x14ac:dyDescent="0.3">
      <c r="A315" s="11" t="s">
        <v>300</v>
      </c>
      <c r="B315" s="11">
        <v>45424</v>
      </c>
      <c r="C315" s="8">
        <v>2024</v>
      </c>
      <c r="D315" s="8" t="str">
        <f t="shared" si="12"/>
        <v>May</v>
      </c>
      <c r="E315" s="8" t="str">
        <f t="shared" si="13"/>
        <v>Sunday</v>
      </c>
      <c r="F315" s="12">
        <v>0.28888888888888886</v>
      </c>
      <c r="G315" s="12" t="str">
        <f t="shared" si="14"/>
        <v>6:00 AM – 7:00 AM</v>
      </c>
      <c r="H315" s="8">
        <v>268</v>
      </c>
      <c r="I315" s="8">
        <v>490</v>
      </c>
      <c r="J315" s="8">
        <v>7</v>
      </c>
      <c r="K315" s="8">
        <v>110</v>
      </c>
      <c r="L315" s="8">
        <v>1</v>
      </c>
      <c r="M315" s="8">
        <v>0</v>
      </c>
      <c r="N315" s="8">
        <v>3</v>
      </c>
      <c r="O315" s="8">
        <v>117</v>
      </c>
      <c r="P315" s="8">
        <v>3</v>
      </c>
    </row>
    <row r="316" spans="1:16" x14ac:dyDescent="0.3">
      <c r="A316" s="9" t="s">
        <v>311</v>
      </c>
      <c r="B316" s="9">
        <v>45413</v>
      </c>
      <c r="C316" s="7">
        <v>2024</v>
      </c>
      <c r="D316" s="7" t="str">
        <f t="shared" si="12"/>
        <v>May</v>
      </c>
      <c r="E316" s="7" t="str">
        <f t="shared" si="13"/>
        <v>Wednesday</v>
      </c>
      <c r="F316" s="10">
        <v>0.2722222222222222</v>
      </c>
      <c r="G316" s="10" t="str">
        <f t="shared" si="14"/>
        <v>6:00 AM – 7:00 AM</v>
      </c>
      <c r="H316" s="7">
        <v>257</v>
      </c>
      <c r="I316" s="7">
        <v>468</v>
      </c>
      <c r="J316" s="7">
        <v>7</v>
      </c>
      <c r="K316" s="7">
        <v>137</v>
      </c>
      <c r="L316" s="7">
        <v>2</v>
      </c>
      <c r="M316" s="7">
        <v>1</v>
      </c>
      <c r="N316" s="7">
        <v>1</v>
      </c>
      <c r="O316" s="7">
        <v>154</v>
      </c>
      <c r="P316" s="7">
        <v>3</v>
      </c>
    </row>
    <row r="317" spans="1:16" x14ac:dyDescent="0.3">
      <c r="A317" s="11" t="s">
        <v>335</v>
      </c>
      <c r="B317" s="11">
        <v>45389</v>
      </c>
      <c r="C317" s="8">
        <v>2024</v>
      </c>
      <c r="D317" s="8" t="str">
        <f t="shared" si="12"/>
        <v>April</v>
      </c>
      <c r="E317" s="8" t="str">
        <f t="shared" si="13"/>
        <v>Sunday</v>
      </c>
      <c r="F317" s="12">
        <v>0.21458333333333332</v>
      </c>
      <c r="G317" s="12" t="str">
        <f t="shared" si="14"/>
        <v>5:00 AM – 6:00 AM</v>
      </c>
      <c r="H317" s="8">
        <v>233</v>
      </c>
      <c r="I317" s="8">
        <v>350</v>
      </c>
      <c r="J317" s="8">
        <v>7</v>
      </c>
      <c r="K317" s="8">
        <v>182</v>
      </c>
      <c r="L317" s="8">
        <v>1</v>
      </c>
      <c r="M317" s="8">
        <v>0</v>
      </c>
      <c r="N317" s="8">
        <v>0</v>
      </c>
      <c r="O317" s="8">
        <v>178</v>
      </c>
      <c r="P317" s="8">
        <v>6</v>
      </c>
    </row>
    <row r="318" spans="1:16" x14ac:dyDescent="0.3">
      <c r="A318" s="9" t="s">
        <v>360</v>
      </c>
      <c r="B318" s="9">
        <v>45365</v>
      </c>
      <c r="C318" s="7">
        <v>2024</v>
      </c>
      <c r="D318" s="7" t="str">
        <f t="shared" si="12"/>
        <v>March</v>
      </c>
      <c r="E318" s="7" t="str">
        <f t="shared" si="13"/>
        <v>Thursday</v>
      </c>
      <c r="F318" s="10">
        <v>0.19513888888888889</v>
      </c>
      <c r="G318" s="10" t="str">
        <f t="shared" si="14"/>
        <v>4:00 AM – 5:00 AM</v>
      </c>
      <c r="H318" s="7">
        <v>208</v>
      </c>
      <c r="I318" s="7">
        <v>141</v>
      </c>
      <c r="J318" s="7">
        <v>7</v>
      </c>
      <c r="K318" s="7">
        <v>295</v>
      </c>
      <c r="L318" s="7">
        <v>1</v>
      </c>
      <c r="M318" s="7">
        <v>0</v>
      </c>
      <c r="N318" s="7">
        <v>1</v>
      </c>
      <c r="O318" s="7">
        <v>293</v>
      </c>
      <c r="P318" s="7">
        <v>2</v>
      </c>
    </row>
    <row r="319" spans="1:16" x14ac:dyDescent="0.3">
      <c r="A319" s="11" t="s">
        <v>364</v>
      </c>
      <c r="B319" s="11">
        <v>45361</v>
      </c>
      <c r="C319" s="8">
        <v>2024</v>
      </c>
      <c r="D319" s="8" t="str">
        <f t="shared" si="12"/>
        <v>March</v>
      </c>
      <c r="E319" s="8" t="str">
        <f t="shared" si="13"/>
        <v>Sunday</v>
      </c>
      <c r="F319" s="12">
        <v>0.21111111111111111</v>
      </c>
      <c r="G319" s="12" t="str">
        <f t="shared" si="14"/>
        <v>5:00 AM – 6:00 AM</v>
      </c>
      <c r="H319" s="8">
        <v>204</v>
      </c>
      <c r="I319" s="8">
        <v>136</v>
      </c>
      <c r="J319" s="8">
        <v>7</v>
      </c>
      <c r="K319" s="8">
        <v>126</v>
      </c>
      <c r="L319" s="8">
        <v>1</v>
      </c>
      <c r="M319" s="8">
        <v>14</v>
      </c>
      <c r="N319" s="8">
        <v>0</v>
      </c>
      <c r="O319" s="8">
        <v>127</v>
      </c>
      <c r="P319" s="8">
        <v>1</v>
      </c>
    </row>
    <row r="320" spans="1:16" x14ac:dyDescent="0.3">
      <c r="A320" s="9" t="s">
        <v>396</v>
      </c>
      <c r="B320" s="9">
        <v>45329</v>
      </c>
      <c r="C320" s="7">
        <v>2024</v>
      </c>
      <c r="D320" s="7" t="str">
        <f t="shared" si="12"/>
        <v>February</v>
      </c>
      <c r="E320" s="7" t="str">
        <f t="shared" si="13"/>
        <v>Wednesday</v>
      </c>
      <c r="F320" s="10">
        <v>0.11180555555555556</v>
      </c>
      <c r="G320" s="10" t="str">
        <f t="shared" si="14"/>
        <v>2:00 AM – 3:00 AM</v>
      </c>
      <c r="H320" s="7">
        <v>172</v>
      </c>
      <c r="I320" s="7">
        <v>123</v>
      </c>
      <c r="J320" s="7">
        <v>7</v>
      </c>
      <c r="K320" s="7">
        <v>54</v>
      </c>
      <c r="L320" s="7">
        <v>1</v>
      </c>
      <c r="M320" s="7">
        <v>0</v>
      </c>
      <c r="N320" s="7">
        <v>0</v>
      </c>
      <c r="O320" s="7">
        <v>56</v>
      </c>
      <c r="P320" s="7">
        <v>1</v>
      </c>
    </row>
    <row r="321" spans="1:16" x14ac:dyDescent="0.3">
      <c r="A321" s="11" t="s">
        <v>399</v>
      </c>
      <c r="B321" s="11">
        <v>45326</v>
      </c>
      <c r="C321" s="8">
        <v>2024</v>
      </c>
      <c r="D321" s="8" t="str">
        <f t="shared" si="12"/>
        <v>February</v>
      </c>
      <c r="E321" s="8" t="str">
        <f t="shared" si="13"/>
        <v>Sunday</v>
      </c>
      <c r="F321" s="12">
        <v>0.11874999999999999</v>
      </c>
      <c r="G321" s="12" t="str">
        <f t="shared" si="14"/>
        <v>2:00 AM – 3:00 AM</v>
      </c>
      <c r="H321" s="8">
        <v>169</v>
      </c>
      <c r="I321" s="8">
        <v>122</v>
      </c>
      <c r="J321" s="8">
        <v>7</v>
      </c>
      <c r="K321" s="8">
        <v>50</v>
      </c>
      <c r="L321" s="8">
        <v>1</v>
      </c>
      <c r="M321" s="8">
        <v>0</v>
      </c>
      <c r="N321" s="8">
        <v>0</v>
      </c>
      <c r="O321" s="8">
        <v>50</v>
      </c>
      <c r="P321" s="8">
        <v>0</v>
      </c>
    </row>
    <row r="322" spans="1:16" x14ac:dyDescent="0.3">
      <c r="A322" s="9" t="s">
        <v>428</v>
      </c>
      <c r="B322" s="9">
        <v>45297</v>
      </c>
      <c r="C322" s="7">
        <v>2024</v>
      </c>
      <c r="D322" s="7" t="str">
        <f t="shared" ref="D322:D385" si="15">TEXT(B322,"MMMM")</f>
        <v>January</v>
      </c>
      <c r="E322" s="7" t="str">
        <f t="shared" ref="E322:E385" si="16">TEXT(B322,"dddd")</f>
        <v>Saturday</v>
      </c>
      <c r="F322" s="10">
        <v>0.34027777777777779</v>
      </c>
      <c r="G322" s="10" t="str">
        <f t="shared" ref="G322:G385" si="17">TEXT(FLOOR(F322,"1:00"),"h:mm AM/PM") &amp; " – " &amp; TEXT(FLOOR(F322,"1:00") + TIME(1,0,0),"h:mm AM/PM")</f>
        <v>8:00 AM – 9:00 AM</v>
      </c>
      <c r="H322" s="7">
        <v>140</v>
      </c>
      <c r="I322" s="7">
        <v>63</v>
      </c>
      <c r="J322" s="7">
        <v>7</v>
      </c>
      <c r="K322" s="7">
        <v>90</v>
      </c>
      <c r="L322" s="7">
        <v>1</v>
      </c>
      <c r="M322" s="7">
        <v>5</v>
      </c>
      <c r="N322" s="7">
        <v>0</v>
      </c>
      <c r="O322" s="7">
        <v>94</v>
      </c>
      <c r="P322" s="7">
        <v>3</v>
      </c>
    </row>
    <row r="323" spans="1:16" x14ac:dyDescent="0.3">
      <c r="A323" s="11" t="s">
        <v>36</v>
      </c>
      <c r="B323" s="11">
        <v>45688</v>
      </c>
      <c r="C323" s="8">
        <v>2025</v>
      </c>
      <c r="D323" s="8" t="str">
        <f t="shared" si="15"/>
        <v>January</v>
      </c>
      <c r="E323" s="8" t="str">
        <f t="shared" si="16"/>
        <v>Friday</v>
      </c>
      <c r="F323" s="12">
        <v>0.62916666666666665</v>
      </c>
      <c r="G323" s="12" t="str">
        <f t="shared" si="17"/>
        <v>3:00 PM – 4:00 PM</v>
      </c>
      <c r="H323" s="8">
        <v>532</v>
      </c>
      <c r="I323" s="8">
        <v>1295</v>
      </c>
      <c r="J323" s="8">
        <v>6</v>
      </c>
      <c r="K323" s="8">
        <v>169</v>
      </c>
      <c r="L323" s="8">
        <v>1</v>
      </c>
      <c r="M323" s="8">
        <v>3</v>
      </c>
      <c r="N323" s="8">
        <v>0</v>
      </c>
      <c r="O323" s="8">
        <v>167</v>
      </c>
      <c r="P323" s="8">
        <v>-1</v>
      </c>
    </row>
    <row r="324" spans="1:16" x14ac:dyDescent="0.3">
      <c r="A324" s="9" t="s">
        <v>58</v>
      </c>
      <c r="B324" s="9">
        <v>45666</v>
      </c>
      <c r="C324" s="7">
        <v>2025</v>
      </c>
      <c r="D324" s="7" t="str">
        <f t="shared" si="15"/>
        <v>January</v>
      </c>
      <c r="E324" s="7" t="str">
        <f t="shared" si="16"/>
        <v>Thursday</v>
      </c>
      <c r="F324" s="10">
        <v>0.86250000000000004</v>
      </c>
      <c r="G324" s="10" t="str">
        <f t="shared" si="17"/>
        <v>8:00 PM – 9:00 PM</v>
      </c>
      <c r="H324" s="7">
        <v>510</v>
      </c>
      <c r="I324" s="7">
        <v>1279</v>
      </c>
      <c r="J324" s="7">
        <v>6</v>
      </c>
      <c r="K324" s="7">
        <v>181</v>
      </c>
      <c r="L324" s="7">
        <v>1</v>
      </c>
      <c r="M324" s="7">
        <v>1</v>
      </c>
      <c r="N324" s="7">
        <v>2</v>
      </c>
      <c r="O324" s="7">
        <v>182</v>
      </c>
      <c r="P324" s="7">
        <v>10</v>
      </c>
    </row>
    <row r="325" spans="1:16" x14ac:dyDescent="0.3">
      <c r="A325" s="11" t="s">
        <v>85</v>
      </c>
      <c r="B325" s="11">
        <v>45639</v>
      </c>
      <c r="C325" s="8">
        <v>2024</v>
      </c>
      <c r="D325" s="8" t="str">
        <f t="shared" si="15"/>
        <v>December</v>
      </c>
      <c r="E325" s="8" t="str">
        <f t="shared" si="16"/>
        <v>Friday</v>
      </c>
      <c r="F325" s="12">
        <v>0.30069444444444443</v>
      </c>
      <c r="G325" s="12" t="str">
        <f t="shared" si="17"/>
        <v>7:00 AM – 8:00 AM</v>
      </c>
      <c r="H325" s="8">
        <v>483</v>
      </c>
      <c r="I325" s="8">
        <v>789</v>
      </c>
      <c r="J325" s="8">
        <v>6</v>
      </c>
      <c r="K325" s="8">
        <v>390</v>
      </c>
      <c r="L325" s="8">
        <v>1</v>
      </c>
      <c r="M325" s="8">
        <v>0</v>
      </c>
      <c r="N325" s="8">
        <v>2</v>
      </c>
      <c r="O325" s="8">
        <v>398</v>
      </c>
      <c r="P325" s="8">
        <v>1</v>
      </c>
    </row>
    <row r="326" spans="1:16" x14ac:dyDescent="0.3">
      <c r="A326" s="9" t="s">
        <v>101</v>
      </c>
      <c r="B326" s="9">
        <v>45623</v>
      </c>
      <c r="C326" s="7">
        <v>2024</v>
      </c>
      <c r="D326" s="7" t="str">
        <f t="shared" si="15"/>
        <v>November</v>
      </c>
      <c r="E326" s="7" t="str">
        <f t="shared" si="16"/>
        <v>Wednesday</v>
      </c>
      <c r="F326" s="10">
        <v>0.29652777777777778</v>
      </c>
      <c r="G326" s="10" t="str">
        <f t="shared" si="17"/>
        <v>7:00 AM – 8:00 AM</v>
      </c>
      <c r="H326" s="7">
        <v>467</v>
      </c>
      <c r="I326" s="7">
        <v>779</v>
      </c>
      <c r="J326" s="7">
        <v>6</v>
      </c>
      <c r="K326" s="7">
        <v>201</v>
      </c>
      <c r="L326" s="7">
        <v>1</v>
      </c>
      <c r="M326" s="7">
        <v>0</v>
      </c>
      <c r="N326" s="7">
        <v>0</v>
      </c>
      <c r="O326" s="7">
        <v>201</v>
      </c>
      <c r="P326" s="7">
        <v>1</v>
      </c>
    </row>
    <row r="327" spans="1:16" x14ac:dyDescent="0.3">
      <c r="A327" s="11" t="s">
        <v>208</v>
      </c>
      <c r="B327" s="11">
        <v>45516</v>
      </c>
      <c r="C327" s="8">
        <v>2024</v>
      </c>
      <c r="D327" s="8" t="str">
        <f t="shared" si="15"/>
        <v>August</v>
      </c>
      <c r="E327" s="8" t="str">
        <f t="shared" si="16"/>
        <v>Monday</v>
      </c>
      <c r="F327" s="12">
        <v>0.28333333333333333</v>
      </c>
      <c r="G327" s="12" t="str">
        <f t="shared" si="17"/>
        <v>6:00 AM – 7:00 AM</v>
      </c>
      <c r="H327" s="8">
        <v>360</v>
      </c>
      <c r="I327" s="8">
        <v>568</v>
      </c>
      <c r="J327" s="8">
        <v>6</v>
      </c>
      <c r="K327" s="8">
        <v>59</v>
      </c>
      <c r="L327" s="8">
        <v>1</v>
      </c>
      <c r="M327" s="8">
        <v>0</v>
      </c>
      <c r="N327" s="8">
        <v>0</v>
      </c>
      <c r="O327" s="8">
        <v>62</v>
      </c>
      <c r="P327" s="8">
        <v>1</v>
      </c>
    </row>
    <row r="328" spans="1:16" x14ac:dyDescent="0.3">
      <c r="A328" s="9" t="s">
        <v>213</v>
      </c>
      <c r="B328" s="9">
        <v>45511</v>
      </c>
      <c r="C328" s="7">
        <v>2024</v>
      </c>
      <c r="D328" s="7" t="str">
        <f t="shared" si="15"/>
        <v>August</v>
      </c>
      <c r="E328" s="7" t="str">
        <f t="shared" si="16"/>
        <v>Wednesday</v>
      </c>
      <c r="F328" s="10">
        <v>0.29166666666666669</v>
      </c>
      <c r="G328" s="10" t="str">
        <f t="shared" si="17"/>
        <v>7:00 AM – 8:00 AM</v>
      </c>
      <c r="H328" s="7">
        <v>355</v>
      </c>
      <c r="I328" s="7">
        <v>565</v>
      </c>
      <c r="J328" s="7">
        <v>6</v>
      </c>
      <c r="K328" s="7">
        <v>45</v>
      </c>
      <c r="L328" s="7">
        <v>1</v>
      </c>
      <c r="M328" s="7">
        <v>0</v>
      </c>
      <c r="N328" s="7">
        <v>1</v>
      </c>
      <c r="O328" s="7">
        <v>49</v>
      </c>
      <c r="P328" s="7">
        <v>0</v>
      </c>
    </row>
    <row r="329" spans="1:16" x14ac:dyDescent="0.3">
      <c r="A329" s="11" t="s">
        <v>226</v>
      </c>
      <c r="B329" s="11">
        <v>45498</v>
      </c>
      <c r="C329" s="8">
        <v>2024</v>
      </c>
      <c r="D329" s="8" t="str">
        <f t="shared" si="15"/>
        <v>July</v>
      </c>
      <c r="E329" s="8" t="str">
        <f t="shared" si="16"/>
        <v>Thursday</v>
      </c>
      <c r="F329" s="12">
        <v>0.28333333333333333</v>
      </c>
      <c r="G329" s="12" t="str">
        <f t="shared" si="17"/>
        <v>6:00 AM – 7:00 AM</v>
      </c>
      <c r="H329" s="8">
        <v>342</v>
      </c>
      <c r="I329" s="8">
        <v>568</v>
      </c>
      <c r="J329" s="8">
        <v>6</v>
      </c>
      <c r="K329" s="8">
        <v>48</v>
      </c>
      <c r="L329" s="8">
        <v>1</v>
      </c>
      <c r="M329" s="8">
        <v>0</v>
      </c>
      <c r="N329" s="8">
        <v>1</v>
      </c>
      <c r="O329" s="8">
        <v>48</v>
      </c>
      <c r="P329" s="8">
        <v>-1</v>
      </c>
    </row>
    <row r="330" spans="1:16" x14ac:dyDescent="0.3">
      <c r="A330" s="9" t="s">
        <v>232</v>
      </c>
      <c r="B330" s="9">
        <v>45492</v>
      </c>
      <c r="C330" s="7">
        <v>2024</v>
      </c>
      <c r="D330" s="7" t="str">
        <f t="shared" si="15"/>
        <v>July</v>
      </c>
      <c r="E330" s="7" t="str">
        <f t="shared" si="16"/>
        <v>Friday</v>
      </c>
      <c r="F330" s="10">
        <v>0.28680555555555554</v>
      </c>
      <c r="G330" s="10" t="str">
        <f t="shared" si="17"/>
        <v>6:00 AM – 7:00 AM</v>
      </c>
      <c r="H330" s="7">
        <v>336</v>
      </c>
      <c r="I330" s="7">
        <v>569</v>
      </c>
      <c r="J330" s="7">
        <v>6</v>
      </c>
      <c r="K330" s="7">
        <v>276</v>
      </c>
      <c r="L330" s="7">
        <v>2</v>
      </c>
      <c r="M330" s="7">
        <v>0</v>
      </c>
      <c r="N330" s="7">
        <v>2</v>
      </c>
      <c r="O330" s="7">
        <v>245</v>
      </c>
      <c r="P330" s="7">
        <v>0</v>
      </c>
    </row>
    <row r="331" spans="1:16" x14ac:dyDescent="0.3">
      <c r="A331" s="11" t="s">
        <v>240</v>
      </c>
      <c r="B331" s="11">
        <v>45484</v>
      </c>
      <c r="C331" s="8">
        <v>2024</v>
      </c>
      <c r="D331" s="8" t="str">
        <f t="shared" si="15"/>
        <v>July</v>
      </c>
      <c r="E331" s="8" t="str">
        <f t="shared" si="16"/>
        <v>Thursday</v>
      </c>
      <c r="F331" s="12">
        <v>0.28958333333333336</v>
      </c>
      <c r="G331" s="12" t="str">
        <f t="shared" si="17"/>
        <v>6:00 AM – 7:00 AM</v>
      </c>
      <c r="H331" s="8">
        <v>328</v>
      </c>
      <c r="I331" s="8">
        <v>571</v>
      </c>
      <c r="J331" s="8">
        <v>6</v>
      </c>
      <c r="K331" s="8">
        <v>86</v>
      </c>
      <c r="L331" s="8">
        <v>1</v>
      </c>
      <c r="M331" s="8">
        <v>28</v>
      </c>
      <c r="N331" s="8">
        <v>1</v>
      </c>
      <c r="O331" s="8">
        <v>91</v>
      </c>
      <c r="P331" s="8">
        <v>-1</v>
      </c>
    </row>
    <row r="332" spans="1:16" x14ac:dyDescent="0.3">
      <c r="A332" s="9" t="s">
        <v>242</v>
      </c>
      <c r="B332" s="9">
        <v>45482</v>
      </c>
      <c r="C332" s="7">
        <v>2024</v>
      </c>
      <c r="D332" s="7" t="str">
        <f t="shared" si="15"/>
        <v>July</v>
      </c>
      <c r="E332" s="7" t="str">
        <f t="shared" si="16"/>
        <v>Tuesday</v>
      </c>
      <c r="F332" s="10">
        <v>0.28263888888888888</v>
      </c>
      <c r="G332" s="10" t="str">
        <f t="shared" si="17"/>
        <v>6:00 AM – 7:00 AM</v>
      </c>
      <c r="H332" s="7">
        <v>326</v>
      </c>
      <c r="I332" s="7">
        <v>571</v>
      </c>
      <c r="J332" s="7">
        <v>6</v>
      </c>
      <c r="K332" s="7">
        <v>69</v>
      </c>
      <c r="L332" s="7">
        <v>1</v>
      </c>
      <c r="M332" s="7">
        <v>1</v>
      </c>
      <c r="N332" s="7">
        <v>5</v>
      </c>
      <c r="O332" s="7">
        <v>67</v>
      </c>
      <c r="P332" s="7">
        <v>0</v>
      </c>
    </row>
    <row r="333" spans="1:16" x14ac:dyDescent="0.3">
      <c r="A333" s="11" t="s">
        <v>247</v>
      </c>
      <c r="B333" s="11">
        <v>45477</v>
      </c>
      <c r="C333" s="8">
        <v>2024</v>
      </c>
      <c r="D333" s="8" t="str">
        <f t="shared" si="15"/>
        <v>July</v>
      </c>
      <c r="E333" s="8" t="str">
        <f t="shared" si="16"/>
        <v>Thursday</v>
      </c>
      <c r="F333" s="12">
        <v>0.27638888888888891</v>
      </c>
      <c r="G333" s="12" t="str">
        <f t="shared" si="17"/>
        <v>6:00 AM – 7:00 AM</v>
      </c>
      <c r="H333" s="8">
        <v>321</v>
      </c>
      <c r="I333" s="8">
        <v>572</v>
      </c>
      <c r="J333" s="8">
        <v>6</v>
      </c>
      <c r="K333" s="8">
        <v>247</v>
      </c>
      <c r="L333" s="8">
        <v>1</v>
      </c>
      <c r="M333" s="8">
        <v>1</v>
      </c>
      <c r="N333" s="8">
        <v>1</v>
      </c>
      <c r="O333" s="8">
        <v>197</v>
      </c>
      <c r="P333" s="8">
        <v>10</v>
      </c>
    </row>
    <row r="334" spans="1:16" x14ac:dyDescent="0.3">
      <c r="A334" s="9" t="s">
        <v>261</v>
      </c>
      <c r="B334" s="9">
        <v>45463</v>
      </c>
      <c r="C334" s="7">
        <v>2024</v>
      </c>
      <c r="D334" s="7" t="str">
        <f t="shared" si="15"/>
        <v>June</v>
      </c>
      <c r="E334" s="7" t="str">
        <f t="shared" si="16"/>
        <v>Thursday</v>
      </c>
      <c r="F334" s="10">
        <v>0.27638888888888891</v>
      </c>
      <c r="G334" s="10" t="str">
        <f t="shared" si="17"/>
        <v>6:00 AM – 7:00 AM</v>
      </c>
      <c r="H334" s="7">
        <v>307</v>
      </c>
      <c r="I334" s="7">
        <v>523</v>
      </c>
      <c r="J334" s="7">
        <v>6</v>
      </c>
      <c r="K334" s="7">
        <v>87</v>
      </c>
      <c r="L334" s="7">
        <v>2</v>
      </c>
      <c r="M334" s="7">
        <v>0</v>
      </c>
      <c r="N334" s="7">
        <v>4</v>
      </c>
      <c r="O334" s="7">
        <v>101</v>
      </c>
      <c r="P334" s="7">
        <v>0</v>
      </c>
    </row>
    <row r="335" spans="1:16" x14ac:dyDescent="0.3">
      <c r="A335" s="11" t="s">
        <v>276</v>
      </c>
      <c r="B335" s="11">
        <v>45448</v>
      </c>
      <c r="C335" s="8">
        <v>2024</v>
      </c>
      <c r="D335" s="8" t="str">
        <f t="shared" si="15"/>
        <v>June</v>
      </c>
      <c r="E335" s="8" t="str">
        <f t="shared" si="16"/>
        <v>Wednesday</v>
      </c>
      <c r="F335" s="12">
        <v>0.27569444444444446</v>
      </c>
      <c r="G335" s="12" t="str">
        <f t="shared" si="17"/>
        <v>6:00 AM – 7:00 AM</v>
      </c>
      <c r="H335" s="8">
        <v>292</v>
      </c>
      <c r="I335" s="8">
        <v>515</v>
      </c>
      <c r="J335" s="8">
        <v>6</v>
      </c>
      <c r="K335" s="8">
        <v>72</v>
      </c>
      <c r="L335" s="8">
        <v>1</v>
      </c>
      <c r="M335" s="8">
        <v>0</v>
      </c>
      <c r="N335" s="8">
        <v>2</v>
      </c>
      <c r="O335" s="8">
        <v>80</v>
      </c>
      <c r="P335" s="8">
        <v>0</v>
      </c>
    </row>
    <row r="336" spans="1:16" x14ac:dyDescent="0.3">
      <c r="A336" s="9" t="s">
        <v>299</v>
      </c>
      <c r="B336" s="9">
        <v>45425</v>
      </c>
      <c r="C336" s="7">
        <v>2024</v>
      </c>
      <c r="D336" s="7" t="str">
        <f t="shared" si="15"/>
        <v>May</v>
      </c>
      <c r="E336" s="7" t="str">
        <f t="shared" si="16"/>
        <v>Monday</v>
      </c>
      <c r="F336" s="10">
        <v>0.27708333333333335</v>
      </c>
      <c r="G336" s="10" t="str">
        <f t="shared" si="17"/>
        <v>6:00 AM – 7:00 AM</v>
      </c>
      <c r="H336" s="7">
        <v>269</v>
      </c>
      <c r="I336" s="7">
        <v>491</v>
      </c>
      <c r="J336" s="7">
        <v>6</v>
      </c>
      <c r="K336" s="7">
        <v>79</v>
      </c>
      <c r="L336" s="7">
        <v>4</v>
      </c>
      <c r="M336" s="7">
        <v>2</v>
      </c>
      <c r="N336" s="7">
        <v>1</v>
      </c>
      <c r="O336" s="7">
        <v>94</v>
      </c>
      <c r="P336" s="7">
        <v>1</v>
      </c>
    </row>
    <row r="337" spans="1:16" x14ac:dyDescent="0.3">
      <c r="A337" s="11" t="s">
        <v>312</v>
      </c>
      <c r="B337" s="11">
        <v>45412</v>
      </c>
      <c r="C337" s="8">
        <v>2024</v>
      </c>
      <c r="D337" s="8" t="str">
        <f t="shared" si="15"/>
        <v>April</v>
      </c>
      <c r="E337" s="8" t="str">
        <f t="shared" si="16"/>
        <v>Tuesday</v>
      </c>
      <c r="F337" s="12">
        <v>0.24236111111111111</v>
      </c>
      <c r="G337" s="12" t="str">
        <f t="shared" si="17"/>
        <v>5:00 AM – 6:00 AM</v>
      </c>
      <c r="H337" s="8">
        <v>256</v>
      </c>
      <c r="I337" s="8">
        <v>465</v>
      </c>
      <c r="J337" s="8">
        <v>6</v>
      </c>
      <c r="K337" s="8">
        <v>111</v>
      </c>
      <c r="L337" s="8">
        <v>1</v>
      </c>
      <c r="M337" s="8">
        <v>0</v>
      </c>
      <c r="N337" s="8">
        <v>1</v>
      </c>
      <c r="O337" s="8">
        <v>119</v>
      </c>
      <c r="P337" s="8">
        <v>2</v>
      </c>
    </row>
    <row r="338" spans="1:16" x14ac:dyDescent="0.3">
      <c r="A338" s="9" t="s">
        <v>369</v>
      </c>
      <c r="B338" s="9">
        <v>45356</v>
      </c>
      <c r="C338" s="7">
        <v>2024</v>
      </c>
      <c r="D338" s="7" t="str">
        <f t="shared" si="15"/>
        <v>March</v>
      </c>
      <c r="E338" s="7" t="str">
        <f t="shared" si="16"/>
        <v>Tuesday</v>
      </c>
      <c r="F338" s="10">
        <v>0.26805555555555555</v>
      </c>
      <c r="G338" s="10" t="str">
        <f t="shared" si="17"/>
        <v>6:00 AM – 7:00 AM</v>
      </c>
      <c r="H338" s="7">
        <v>199</v>
      </c>
      <c r="I338" s="7">
        <v>132</v>
      </c>
      <c r="J338" s="7">
        <v>6</v>
      </c>
      <c r="K338" s="7">
        <v>115</v>
      </c>
      <c r="L338" s="7">
        <v>1</v>
      </c>
      <c r="M338" s="7">
        <v>4</v>
      </c>
      <c r="N338" s="7">
        <v>0</v>
      </c>
      <c r="O338" s="7">
        <v>118</v>
      </c>
      <c r="P338" s="7">
        <v>1</v>
      </c>
    </row>
    <row r="339" spans="1:16" x14ac:dyDescent="0.3">
      <c r="A339" s="11" t="s">
        <v>394</v>
      </c>
      <c r="B339" s="11">
        <v>45331</v>
      </c>
      <c r="C339" s="8">
        <v>2024</v>
      </c>
      <c r="D339" s="8" t="str">
        <f t="shared" si="15"/>
        <v>February</v>
      </c>
      <c r="E339" s="8" t="str">
        <f t="shared" si="16"/>
        <v>Friday</v>
      </c>
      <c r="F339" s="12">
        <v>0.1701388888888889</v>
      </c>
      <c r="G339" s="12" t="str">
        <f t="shared" si="17"/>
        <v>4:00 AM – 5:00 AM</v>
      </c>
      <c r="H339" s="8">
        <v>174</v>
      </c>
      <c r="I339" s="8">
        <v>124</v>
      </c>
      <c r="J339" s="8">
        <v>6</v>
      </c>
      <c r="K339" s="8">
        <v>54</v>
      </c>
      <c r="L339" s="8">
        <v>1</v>
      </c>
      <c r="M339" s="8">
        <v>2</v>
      </c>
      <c r="N339" s="8">
        <v>1</v>
      </c>
      <c r="O339" s="8">
        <v>54</v>
      </c>
      <c r="P339" s="8">
        <v>0</v>
      </c>
    </row>
    <row r="340" spans="1:16" x14ac:dyDescent="0.3">
      <c r="A340" s="9" t="s">
        <v>397</v>
      </c>
      <c r="B340" s="9">
        <v>45328</v>
      </c>
      <c r="C340" s="7">
        <v>2024</v>
      </c>
      <c r="D340" s="7" t="str">
        <f t="shared" si="15"/>
        <v>February</v>
      </c>
      <c r="E340" s="7" t="str">
        <f t="shared" si="16"/>
        <v>Tuesday</v>
      </c>
      <c r="F340" s="10">
        <v>0.10694444444444444</v>
      </c>
      <c r="G340" s="10" t="str">
        <f t="shared" si="17"/>
        <v>2:00 AM – 3:00 AM</v>
      </c>
      <c r="H340" s="7">
        <v>171</v>
      </c>
      <c r="I340" s="7">
        <v>122</v>
      </c>
      <c r="J340" s="7">
        <v>6</v>
      </c>
      <c r="K340" s="7">
        <v>49</v>
      </c>
      <c r="L340" s="7">
        <v>1</v>
      </c>
      <c r="M340" s="7">
        <v>1</v>
      </c>
      <c r="N340" s="7">
        <v>1</v>
      </c>
      <c r="O340" s="7">
        <v>49</v>
      </c>
      <c r="P340" s="7">
        <v>0</v>
      </c>
    </row>
    <row r="341" spans="1:16" x14ac:dyDescent="0.3">
      <c r="A341" s="11" t="s">
        <v>402</v>
      </c>
      <c r="B341" s="11">
        <v>45323</v>
      </c>
      <c r="C341" s="8">
        <v>2024</v>
      </c>
      <c r="D341" s="8" t="str">
        <f t="shared" si="15"/>
        <v>February</v>
      </c>
      <c r="E341" s="8" t="str">
        <f t="shared" si="16"/>
        <v>Thursday</v>
      </c>
      <c r="F341" s="12">
        <v>0.2722222222222222</v>
      </c>
      <c r="G341" s="12" t="str">
        <f t="shared" si="17"/>
        <v>6:00 AM – 7:00 AM</v>
      </c>
      <c r="H341" s="8">
        <v>166</v>
      </c>
      <c r="I341" s="8">
        <v>122</v>
      </c>
      <c r="J341" s="8">
        <v>6</v>
      </c>
      <c r="K341" s="8">
        <v>81</v>
      </c>
      <c r="L341" s="8">
        <v>1</v>
      </c>
      <c r="M341" s="8">
        <v>0</v>
      </c>
      <c r="N341" s="8">
        <v>1</v>
      </c>
      <c r="O341" s="8">
        <v>82</v>
      </c>
      <c r="P341" s="8">
        <v>1</v>
      </c>
    </row>
    <row r="342" spans="1:16" x14ac:dyDescent="0.3">
      <c r="A342" s="9" t="s">
        <v>483</v>
      </c>
      <c r="B342" s="9">
        <v>45243</v>
      </c>
      <c r="C342" s="7">
        <v>2023</v>
      </c>
      <c r="D342" s="7" t="str">
        <f t="shared" si="15"/>
        <v>November</v>
      </c>
      <c r="E342" s="7" t="str">
        <f t="shared" si="16"/>
        <v>Monday</v>
      </c>
      <c r="F342" s="10">
        <v>0.93888888888888888</v>
      </c>
      <c r="G342" s="10" t="str">
        <f t="shared" si="17"/>
        <v>10:00 PM – 11:00 PM</v>
      </c>
      <c r="H342" s="7">
        <v>83</v>
      </c>
      <c r="I342" s="7">
        <v>25</v>
      </c>
      <c r="J342" s="7">
        <v>6</v>
      </c>
      <c r="K342" s="7">
        <v>66</v>
      </c>
      <c r="L342" s="7">
        <v>0</v>
      </c>
      <c r="M342" s="7">
        <v>0</v>
      </c>
      <c r="N342" s="7">
        <v>2</v>
      </c>
      <c r="O342" s="7">
        <v>91</v>
      </c>
      <c r="P342" s="7">
        <v>1</v>
      </c>
    </row>
    <row r="343" spans="1:16" x14ac:dyDescent="0.3">
      <c r="A343" s="11" t="s">
        <v>32</v>
      </c>
      <c r="B343" s="11">
        <v>45692</v>
      </c>
      <c r="C343" s="8">
        <v>2025</v>
      </c>
      <c r="D343" s="8" t="str">
        <f t="shared" si="15"/>
        <v>February</v>
      </c>
      <c r="E343" s="8" t="str">
        <f t="shared" si="16"/>
        <v>Tuesday</v>
      </c>
      <c r="F343" s="12">
        <v>0.64652777777777781</v>
      </c>
      <c r="G343" s="12" t="str">
        <f t="shared" si="17"/>
        <v>3:00 PM – 4:00 PM</v>
      </c>
      <c r="H343" s="8">
        <v>536</v>
      </c>
      <c r="I343" s="8">
        <v>1294</v>
      </c>
      <c r="J343" s="8">
        <v>5</v>
      </c>
      <c r="K343" s="8">
        <v>202</v>
      </c>
      <c r="L343" s="8">
        <v>1</v>
      </c>
      <c r="M343" s="8">
        <v>0</v>
      </c>
      <c r="N343" s="8">
        <v>1</v>
      </c>
      <c r="O343" s="8">
        <v>204</v>
      </c>
      <c r="P343" s="8">
        <v>0</v>
      </c>
    </row>
    <row r="344" spans="1:16" x14ac:dyDescent="0.3">
      <c r="A344" s="9" t="s">
        <v>49</v>
      </c>
      <c r="B344" s="9">
        <v>45675</v>
      </c>
      <c r="C344" s="7">
        <v>2025</v>
      </c>
      <c r="D344" s="7" t="str">
        <f t="shared" si="15"/>
        <v>January</v>
      </c>
      <c r="E344" s="7" t="str">
        <f t="shared" si="16"/>
        <v>Saturday</v>
      </c>
      <c r="F344" s="10">
        <v>0.57847222222222228</v>
      </c>
      <c r="G344" s="10" t="str">
        <f t="shared" si="17"/>
        <v>1:00 PM – 2:00 PM</v>
      </c>
      <c r="H344" s="7">
        <v>519</v>
      </c>
      <c r="I344" s="7">
        <v>1281</v>
      </c>
      <c r="J344" s="7">
        <v>5</v>
      </c>
      <c r="K344" s="7">
        <v>186</v>
      </c>
      <c r="L344" s="7">
        <v>1</v>
      </c>
      <c r="M344" s="7">
        <v>3</v>
      </c>
      <c r="N344" s="7">
        <v>0</v>
      </c>
      <c r="O344" s="7">
        <v>186</v>
      </c>
      <c r="P344" s="7">
        <v>5</v>
      </c>
    </row>
    <row r="345" spans="1:16" x14ac:dyDescent="0.3">
      <c r="A345" s="11" t="s">
        <v>75</v>
      </c>
      <c r="B345" s="11">
        <v>45649</v>
      </c>
      <c r="C345" s="8">
        <v>2024</v>
      </c>
      <c r="D345" s="8" t="str">
        <f t="shared" si="15"/>
        <v>December</v>
      </c>
      <c r="E345" s="8" t="str">
        <f t="shared" si="16"/>
        <v>Monday</v>
      </c>
      <c r="F345" s="12">
        <v>0.5493055555555556</v>
      </c>
      <c r="G345" s="12" t="str">
        <f t="shared" si="17"/>
        <v>1:00 PM – 2:00 PM</v>
      </c>
      <c r="H345" s="8">
        <v>493</v>
      </c>
      <c r="I345" s="8">
        <v>792</v>
      </c>
      <c r="J345" s="8">
        <v>5</v>
      </c>
      <c r="K345" s="8">
        <v>820</v>
      </c>
      <c r="L345" s="8">
        <v>2</v>
      </c>
      <c r="M345" s="8">
        <v>4</v>
      </c>
      <c r="N345" s="8">
        <v>9</v>
      </c>
      <c r="O345" s="8">
        <v>812</v>
      </c>
      <c r="P345" s="8">
        <v>-6</v>
      </c>
    </row>
    <row r="346" spans="1:16" x14ac:dyDescent="0.3">
      <c r="A346" s="9" t="s">
        <v>103</v>
      </c>
      <c r="B346" s="9">
        <v>45621</v>
      </c>
      <c r="C346" s="7">
        <v>2024</v>
      </c>
      <c r="D346" s="7" t="str">
        <f t="shared" si="15"/>
        <v>November</v>
      </c>
      <c r="E346" s="7" t="str">
        <f t="shared" si="16"/>
        <v>Monday</v>
      </c>
      <c r="F346" s="10">
        <v>0.54861111111111116</v>
      </c>
      <c r="G346" s="10" t="str">
        <f t="shared" si="17"/>
        <v>1:00 PM – 2:00 PM</v>
      </c>
      <c r="H346" s="7">
        <v>465</v>
      </c>
      <c r="I346" s="7">
        <v>776</v>
      </c>
      <c r="J346" s="7">
        <v>5</v>
      </c>
      <c r="K346" s="7">
        <v>210</v>
      </c>
      <c r="L346" s="7">
        <v>1</v>
      </c>
      <c r="M346" s="7">
        <v>0</v>
      </c>
      <c r="N346" s="7">
        <v>0</v>
      </c>
      <c r="O346" s="7">
        <v>211</v>
      </c>
      <c r="P346" s="7">
        <v>1</v>
      </c>
    </row>
    <row r="347" spans="1:16" x14ac:dyDescent="0.3">
      <c r="A347" s="11" t="s">
        <v>121</v>
      </c>
      <c r="B347" s="11">
        <v>45603</v>
      </c>
      <c r="C347" s="8">
        <v>2024</v>
      </c>
      <c r="D347" s="8" t="str">
        <f t="shared" si="15"/>
        <v>November</v>
      </c>
      <c r="E347" s="8" t="str">
        <f t="shared" si="16"/>
        <v>Thursday</v>
      </c>
      <c r="F347" s="12">
        <v>0.57361111111111107</v>
      </c>
      <c r="G347" s="12" t="str">
        <f t="shared" si="17"/>
        <v>1:00 PM – 2:00 PM</v>
      </c>
      <c r="H347" s="8">
        <v>447</v>
      </c>
      <c r="I347" s="8">
        <v>772</v>
      </c>
      <c r="J347" s="8">
        <v>5</v>
      </c>
      <c r="K347" s="8">
        <v>139</v>
      </c>
      <c r="L347" s="8">
        <v>1</v>
      </c>
      <c r="M347" s="8">
        <v>1</v>
      </c>
      <c r="N347" s="8">
        <v>0</v>
      </c>
      <c r="O347" s="8">
        <v>140</v>
      </c>
      <c r="P347" s="8">
        <v>0</v>
      </c>
    </row>
    <row r="348" spans="1:16" x14ac:dyDescent="0.3">
      <c r="A348" s="9" t="s">
        <v>139</v>
      </c>
      <c r="B348" s="9">
        <v>45585</v>
      </c>
      <c r="C348" s="7">
        <v>2024</v>
      </c>
      <c r="D348" s="7" t="str">
        <f t="shared" si="15"/>
        <v>October</v>
      </c>
      <c r="E348" s="7" t="str">
        <f t="shared" si="16"/>
        <v>Sunday</v>
      </c>
      <c r="F348" s="10">
        <v>0.58125000000000004</v>
      </c>
      <c r="G348" s="10" t="str">
        <f t="shared" si="17"/>
        <v>1:00 PM – 2:00 PM</v>
      </c>
      <c r="H348" s="7">
        <v>429</v>
      </c>
      <c r="I348" s="7">
        <v>753</v>
      </c>
      <c r="J348" s="7">
        <v>5</v>
      </c>
      <c r="K348" s="7">
        <v>187</v>
      </c>
      <c r="L348" s="7">
        <v>2</v>
      </c>
      <c r="M348" s="7">
        <v>1</v>
      </c>
      <c r="N348" s="7">
        <v>1</v>
      </c>
      <c r="O348" s="7">
        <v>192</v>
      </c>
      <c r="P348" s="7">
        <v>2</v>
      </c>
    </row>
    <row r="349" spans="1:16" x14ac:dyDescent="0.3">
      <c r="A349" s="11" t="s">
        <v>174</v>
      </c>
      <c r="B349" s="11">
        <v>45550</v>
      </c>
      <c r="C349" s="8">
        <v>2024</v>
      </c>
      <c r="D349" s="8" t="str">
        <f t="shared" si="15"/>
        <v>September</v>
      </c>
      <c r="E349" s="8" t="str">
        <f t="shared" si="16"/>
        <v>Sunday</v>
      </c>
      <c r="F349" s="12">
        <v>0.30763888888888891</v>
      </c>
      <c r="G349" s="12" t="str">
        <f t="shared" si="17"/>
        <v>7:00 AM – 8:00 AM</v>
      </c>
      <c r="H349" s="8">
        <v>394</v>
      </c>
      <c r="I349" s="8">
        <v>643</v>
      </c>
      <c r="J349" s="8">
        <v>5</v>
      </c>
      <c r="K349" s="8">
        <v>473</v>
      </c>
      <c r="L349" s="8">
        <v>2</v>
      </c>
      <c r="M349" s="8">
        <v>0</v>
      </c>
      <c r="N349" s="8">
        <v>0</v>
      </c>
      <c r="O349" s="8">
        <v>473</v>
      </c>
      <c r="P349" s="8">
        <v>1</v>
      </c>
    </row>
    <row r="350" spans="1:16" x14ac:dyDescent="0.3">
      <c r="A350" s="9" t="s">
        <v>192</v>
      </c>
      <c r="B350" s="9">
        <v>45532</v>
      </c>
      <c r="C350" s="7">
        <v>2024</v>
      </c>
      <c r="D350" s="7" t="str">
        <f t="shared" si="15"/>
        <v>August</v>
      </c>
      <c r="E350" s="7" t="str">
        <f t="shared" si="16"/>
        <v>Wednesday</v>
      </c>
      <c r="F350" s="10">
        <v>0.30416666666666664</v>
      </c>
      <c r="G350" s="10" t="str">
        <f t="shared" si="17"/>
        <v>7:00 AM – 8:00 AM</v>
      </c>
      <c r="H350" s="7">
        <v>376</v>
      </c>
      <c r="I350" s="7">
        <v>585</v>
      </c>
      <c r="J350" s="7">
        <v>5</v>
      </c>
      <c r="K350" s="7">
        <v>81</v>
      </c>
      <c r="L350" s="7">
        <v>1</v>
      </c>
      <c r="M350" s="7">
        <v>1</v>
      </c>
      <c r="N350" s="7">
        <v>0</v>
      </c>
      <c r="O350" s="7">
        <v>81</v>
      </c>
      <c r="P350" s="7">
        <v>1</v>
      </c>
    </row>
    <row r="351" spans="1:16" x14ac:dyDescent="0.3">
      <c r="A351" s="11" t="s">
        <v>193</v>
      </c>
      <c r="B351" s="11">
        <v>45531</v>
      </c>
      <c r="C351" s="8">
        <v>2024</v>
      </c>
      <c r="D351" s="8" t="str">
        <f t="shared" si="15"/>
        <v>August</v>
      </c>
      <c r="E351" s="8" t="str">
        <f t="shared" si="16"/>
        <v>Tuesday</v>
      </c>
      <c r="F351" s="12">
        <v>0.28819444444444442</v>
      </c>
      <c r="G351" s="12" t="str">
        <f t="shared" si="17"/>
        <v>6:00 AM – 7:00 AM</v>
      </c>
      <c r="H351" s="8">
        <v>375</v>
      </c>
      <c r="I351" s="8">
        <v>584</v>
      </c>
      <c r="J351" s="8">
        <v>5</v>
      </c>
      <c r="K351" s="8">
        <v>69</v>
      </c>
      <c r="L351" s="8">
        <v>1</v>
      </c>
      <c r="M351" s="8">
        <v>0</v>
      </c>
      <c r="N351" s="8">
        <v>0</v>
      </c>
      <c r="O351" s="8">
        <v>67</v>
      </c>
      <c r="P351" s="8">
        <v>4</v>
      </c>
    </row>
    <row r="352" spans="1:16" x14ac:dyDescent="0.3">
      <c r="A352" s="9" t="s">
        <v>200</v>
      </c>
      <c r="B352" s="9">
        <v>45524</v>
      </c>
      <c r="C352" s="7">
        <v>2024</v>
      </c>
      <c r="D352" s="7" t="str">
        <f t="shared" si="15"/>
        <v>August</v>
      </c>
      <c r="E352" s="7" t="str">
        <f t="shared" si="16"/>
        <v>Tuesday</v>
      </c>
      <c r="F352" s="10">
        <v>0.29166666666666669</v>
      </c>
      <c r="G352" s="10" t="str">
        <f t="shared" si="17"/>
        <v>7:00 AM – 8:00 AM</v>
      </c>
      <c r="H352" s="7">
        <v>368</v>
      </c>
      <c r="I352" s="7">
        <v>571</v>
      </c>
      <c r="J352" s="7">
        <v>5</v>
      </c>
      <c r="K352" s="7">
        <v>76</v>
      </c>
      <c r="L352" s="7">
        <v>1</v>
      </c>
      <c r="M352" s="7">
        <v>0</v>
      </c>
      <c r="N352" s="7">
        <v>2</v>
      </c>
      <c r="O352" s="7">
        <v>75</v>
      </c>
      <c r="P352" s="7">
        <v>0</v>
      </c>
    </row>
    <row r="353" spans="1:16" x14ac:dyDescent="0.3">
      <c r="A353" s="11" t="s">
        <v>214</v>
      </c>
      <c r="B353" s="11">
        <v>45510</v>
      </c>
      <c r="C353" s="8">
        <v>2024</v>
      </c>
      <c r="D353" s="8" t="str">
        <f t="shared" si="15"/>
        <v>August</v>
      </c>
      <c r="E353" s="8" t="str">
        <f t="shared" si="16"/>
        <v>Tuesday</v>
      </c>
      <c r="F353" s="12">
        <v>0.3034722222222222</v>
      </c>
      <c r="G353" s="12" t="str">
        <f t="shared" si="17"/>
        <v>7:00 AM – 8:00 AM</v>
      </c>
      <c r="H353" s="8">
        <v>354</v>
      </c>
      <c r="I353" s="8">
        <v>565</v>
      </c>
      <c r="J353" s="8">
        <v>5</v>
      </c>
      <c r="K353" s="8">
        <v>59</v>
      </c>
      <c r="L353" s="8">
        <v>1</v>
      </c>
      <c r="M353" s="8">
        <v>3</v>
      </c>
      <c r="N353" s="8">
        <v>1</v>
      </c>
      <c r="O353" s="8">
        <v>62</v>
      </c>
      <c r="P353" s="8">
        <v>0</v>
      </c>
    </row>
    <row r="354" spans="1:16" x14ac:dyDescent="0.3">
      <c r="A354" s="9" t="s">
        <v>219</v>
      </c>
      <c r="B354" s="9">
        <v>45505</v>
      </c>
      <c r="C354" s="7">
        <v>2024</v>
      </c>
      <c r="D354" s="7" t="str">
        <f t="shared" si="15"/>
        <v>August</v>
      </c>
      <c r="E354" s="7" t="str">
        <f t="shared" si="16"/>
        <v>Thursday</v>
      </c>
      <c r="F354" s="10">
        <v>0.27847222222222223</v>
      </c>
      <c r="G354" s="10" t="str">
        <f t="shared" si="17"/>
        <v>6:00 AM – 7:00 AM</v>
      </c>
      <c r="H354" s="7">
        <v>349</v>
      </c>
      <c r="I354" s="7">
        <v>566</v>
      </c>
      <c r="J354" s="7">
        <v>5</v>
      </c>
      <c r="K354" s="7">
        <v>42</v>
      </c>
      <c r="L354" s="7">
        <v>4</v>
      </c>
      <c r="M354" s="7">
        <v>0</v>
      </c>
      <c r="N354" s="7">
        <v>2</v>
      </c>
      <c r="O354" s="7">
        <v>48</v>
      </c>
      <c r="P354" s="7">
        <v>0</v>
      </c>
    </row>
    <row r="355" spans="1:16" x14ac:dyDescent="0.3">
      <c r="A355" s="11" t="s">
        <v>260</v>
      </c>
      <c r="B355" s="11">
        <v>45464</v>
      </c>
      <c r="C355" s="8">
        <v>2024</v>
      </c>
      <c r="D355" s="8" t="str">
        <f t="shared" si="15"/>
        <v>June</v>
      </c>
      <c r="E355" s="8" t="str">
        <f t="shared" si="16"/>
        <v>Friday</v>
      </c>
      <c r="F355" s="12">
        <v>0.28541666666666665</v>
      </c>
      <c r="G355" s="12" t="str">
        <f t="shared" si="17"/>
        <v>6:00 AM – 7:00 AM</v>
      </c>
      <c r="H355" s="8">
        <v>308</v>
      </c>
      <c r="I355" s="8">
        <v>523</v>
      </c>
      <c r="J355" s="8">
        <v>5</v>
      </c>
      <c r="K355" s="8">
        <v>77</v>
      </c>
      <c r="L355" s="8">
        <v>1</v>
      </c>
      <c r="M355" s="8">
        <v>0</v>
      </c>
      <c r="N355" s="8">
        <v>0</v>
      </c>
      <c r="O355" s="8">
        <v>85</v>
      </c>
      <c r="P355" s="8">
        <v>0</v>
      </c>
    </row>
    <row r="356" spans="1:16" x14ac:dyDescent="0.3">
      <c r="A356" s="9" t="s">
        <v>277</v>
      </c>
      <c r="B356" s="9">
        <v>45447</v>
      </c>
      <c r="C356" s="7">
        <v>2024</v>
      </c>
      <c r="D356" s="7" t="str">
        <f t="shared" si="15"/>
        <v>June</v>
      </c>
      <c r="E356" s="7" t="str">
        <f t="shared" si="16"/>
        <v>Tuesday</v>
      </c>
      <c r="F356" s="10">
        <v>0.27986111111111112</v>
      </c>
      <c r="G356" s="10" t="str">
        <f t="shared" si="17"/>
        <v>6:00 AM – 7:00 AM</v>
      </c>
      <c r="H356" s="7">
        <v>291</v>
      </c>
      <c r="I356" s="7">
        <v>515</v>
      </c>
      <c r="J356" s="7">
        <v>5</v>
      </c>
      <c r="K356" s="7">
        <v>72</v>
      </c>
      <c r="L356" s="7">
        <v>2</v>
      </c>
      <c r="M356" s="7">
        <v>0</v>
      </c>
      <c r="N356" s="7">
        <v>0</v>
      </c>
      <c r="O356" s="7">
        <v>78</v>
      </c>
      <c r="P356" s="7">
        <v>0</v>
      </c>
    </row>
    <row r="357" spans="1:16" x14ac:dyDescent="0.3">
      <c r="A357" s="11" t="s">
        <v>278</v>
      </c>
      <c r="B357" s="11">
        <v>45446</v>
      </c>
      <c r="C357" s="8">
        <v>2024</v>
      </c>
      <c r="D357" s="8" t="str">
        <f t="shared" si="15"/>
        <v>June</v>
      </c>
      <c r="E357" s="8" t="str">
        <f t="shared" si="16"/>
        <v>Monday</v>
      </c>
      <c r="F357" s="12">
        <v>0.29097222222222224</v>
      </c>
      <c r="G357" s="12" t="str">
        <f t="shared" si="17"/>
        <v>6:00 AM – 7:00 AM</v>
      </c>
      <c r="H357" s="8">
        <v>290</v>
      </c>
      <c r="I357" s="8">
        <v>515</v>
      </c>
      <c r="J357" s="8">
        <v>5</v>
      </c>
      <c r="K357" s="8">
        <v>85</v>
      </c>
      <c r="L357" s="8">
        <v>0</v>
      </c>
      <c r="M357" s="8">
        <v>1</v>
      </c>
      <c r="N357" s="8">
        <v>2</v>
      </c>
      <c r="O357" s="8">
        <v>98</v>
      </c>
      <c r="P357" s="8">
        <v>1</v>
      </c>
    </row>
    <row r="358" spans="1:16" x14ac:dyDescent="0.3">
      <c r="A358" s="9" t="s">
        <v>291</v>
      </c>
      <c r="B358" s="9">
        <v>45433</v>
      </c>
      <c r="C358" s="7">
        <v>2024</v>
      </c>
      <c r="D358" s="7" t="str">
        <f t="shared" si="15"/>
        <v>May</v>
      </c>
      <c r="E358" s="7" t="str">
        <f t="shared" si="16"/>
        <v>Tuesday</v>
      </c>
      <c r="F358" s="10">
        <v>0.27083333333333331</v>
      </c>
      <c r="G358" s="10" t="str">
        <f t="shared" si="17"/>
        <v>6:00 AM – 7:00 AM</v>
      </c>
      <c r="H358" s="7">
        <v>277</v>
      </c>
      <c r="I358" s="7">
        <v>504</v>
      </c>
      <c r="J358" s="7">
        <v>5</v>
      </c>
      <c r="K358" s="7">
        <v>59</v>
      </c>
      <c r="L358" s="7">
        <v>1</v>
      </c>
      <c r="M358" s="7">
        <v>0</v>
      </c>
      <c r="N358" s="7">
        <v>0</v>
      </c>
      <c r="O358" s="7">
        <v>63</v>
      </c>
      <c r="P358" s="7">
        <v>6</v>
      </c>
    </row>
    <row r="359" spans="1:16" x14ac:dyDescent="0.3">
      <c r="A359" s="11" t="s">
        <v>304</v>
      </c>
      <c r="B359" s="11">
        <v>45420</v>
      </c>
      <c r="C359" s="8">
        <v>2024</v>
      </c>
      <c r="D359" s="8" t="str">
        <f t="shared" si="15"/>
        <v>May</v>
      </c>
      <c r="E359" s="8" t="str">
        <f t="shared" si="16"/>
        <v>Wednesday</v>
      </c>
      <c r="F359" s="12">
        <v>0.24166666666666667</v>
      </c>
      <c r="G359" s="12" t="str">
        <f t="shared" si="17"/>
        <v>5:00 AM – 6:00 AM</v>
      </c>
      <c r="H359" s="8">
        <v>264</v>
      </c>
      <c r="I359" s="8">
        <v>481</v>
      </c>
      <c r="J359" s="8">
        <v>5</v>
      </c>
      <c r="K359" s="8">
        <v>71</v>
      </c>
      <c r="L359" s="8">
        <v>1</v>
      </c>
      <c r="M359" s="8">
        <v>2</v>
      </c>
      <c r="N359" s="8">
        <v>0</v>
      </c>
      <c r="O359" s="8">
        <v>80</v>
      </c>
      <c r="P359" s="8">
        <v>5</v>
      </c>
    </row>
    <row r="360" spans="1:16" x14ac:dyDescent="0.3">
      <c r="A360" s="9" t="s">
        <v>308</v>
      </c>
      <c r="B360" s="9">
        <v>45416</v>
      </c>
      <c r="C360" s="7">
        <v>2024</v>
      </c>
      <c r="D360" s="7" t="str">
        <f t="shared" si="15"/>
        <v>May</v>
      </c>
      <c r="E360" s="7" t="str">
        <f t="shared" si="16"/>
        <v>Saturday</v>
      </c>
      <c r="F360" s="10">
        <v>0.24444444444444444</v>
      </c>
      <c r="G360" s="10" t="str">
        <f t="shared" si="17"/>
        <v>5:00 AM – 6:00 AM</v>
      </c>
      <c r="H360" s="7">
        <v>260</v>
      </c>
      <c r="I360" s="7">
        <v>471</v>
      </c>
      <c r="J360" s="7">
        <v>5</v>
      </c>
      <c r="K360" s="7">
        <v>179</v>
      </c>
      <c r="L360" s="7">
        <v>1</v>
      </c>
      <c r="M360" s="7">
        <v>2</v>
      </c>
      <c r="N360" s="7">
        <v>1</v>
      </c>
      <c r="O360" s="7">
        <v>197</v>
      </c>
      <c r="P360" s="7">
        <v>1</v>
      </c>
    </row>
    <row r="361" spans="1:16" x14ac:dyDescent="0.3">
      <c r="A361" s="11" t="s">
        <v>322</v>
      </c>
      <c r="B361" s="11">
        <v>45402</v>
      </c>
      <c r="C361" s="8">
        <v>2024</v>
      </c>
      <c r="D361" s="8" t="str">
        <f t="shared" si="15"/>
        <v>April</v>
      </c>
      <c r="E361" s="8" t="str">
        <f t="shared" si="16"/>
        <v>Saturday</v>
      </c>
      <c r="F361" s="12">
        <v>0.23333333333333334</v>
      </c>
      <c r="G361" s="12" t="str">
        <f t="shared" si="17"/>
        <v>5:00 AM – 6:00 AM</v>
      </c>
      <c r="H361" s="8">
        <v>246</v>
      </c>
      <c r="I361" s="8">
        <v>450</v>
      </c>
      <c r="J361" s="8">
        <v>5</v>
      </c>
      <c r="K361" s="8">
        <v>125</v>
      </c>
      <c r="L361" s="8">
        <v>1</v>
      </c>
      <c r="M361" s="8">
        <v>1</v>
      </c>
      <c r="N361" s="8">
        <v>0</v>
      </c>
      <c r="O361" s="8">
        <v>131</v>
      </c>
      <c r="P361" s="8">
        <v>3</v>
      </c>
    </row>
    <row r="362" spans="1:16" x14ac:dyDescent="0.3">
      <c r="A362" s="9" t="s">
        <v>324</v>
      </c>
      <c r="B362" s="9">
        <v>45400</v>
      </c>
      <c r="C362" s="7">
        <v>2024</v>
      </c>
      <c r="D362" s="7" t="str">
        <f t="shared" si="15"/>
        <v>April</v>
      </c>
      <c r="E362" s="7" t="str">
        <f t="shared" si="16"/>
        <v>Thursday</v>
      </c>
      <c r="F362" s="10">
        <v>0.2590277777777778</v>
      </c>
      <c r="G362" s="10" t="str">
        <f t="shared" si="17"/>
        <v>6:00 AM – 7:00 AM</v>
      </c>
      <c r="H362" s="7">
        <v>244</v>
      </c>
      <c r="I362" s="7">
        <v>439</v>
      </c>
      <c r="J362" s="7">
        <v>5</v>
      </c>
      <c r="K362" s="7">
        <v>104</v>
      </c>
      <c r="L362" s="7">
        <v>1</v>
      </c>
      <c r="M362" s="7">
        <v>0</v>
      </c>
      <c r="N362" s="7">
        <v>0</v>
      </c>
      <c r="O362" s="7">
        <v>109</v>
      </c>
      <c r="P362" s="7">
        <v>3</v>
      </c>
    </row>
    <row r="363" spans="1:16" x14ac:dyDescent="0.3">
      <c r="A363" s="11" t="s">
        <v>338</v>
      </c>
      <c r="B363" s="11">
        <v>45386</v>
      </c>
      <c r="C363" s="8">
        <v>2024</v>
      </c>
      <c r="D363" s="8" t="str">
        <f t="shared" si="15"/>
        <v>April</v>
      </c>
      <c r="E363" s="8" t="str">
        <f t="shared" si="16"/>
        <v>Thursday</v>
      </c>
      <c r="F363" s="12">
        <v>0.22638888888888889</v>
      </c>
      <c r="G363" s="12" t="str">
        <f t="shared" si="17"/>
        <v>5:00 AM – 6:00 AM</v>
      </c>
      <c r="H363" s="8">
        <v>230</v>
      </c>
      <c r="I363" s="8">
        <v>317</v>
      </c>
      <c r="J363" s="8">
        <v>5</v>
      </c>
      <c r="K363" s="8">
        <v>242</v>
      </c>
      <c r="L363" s="8">
        <v>1</v>
      </c>
      <c r="M363" s="8">
        <v>0</v>
      </c>
      <c r="N363" s="8">
        <v>0</v>
      </c>
      <c r="O363" s="8">
        <v>242</v>
      </c>
      <c r="P363" s="8">
        <v>12</v>
      </c>
    </row>
    <row r="364" spans="1:16" x14ac:dyDescent="0.3">
      <c r="A364" s="9" t="s">
        <v>358</v>
      </c>
      <c r="B364" s="9">
        <v>45367</v>
      </c>
      <c r="C364" s="7">
        <v>2024</v>
      </c>
      <c r="D364" s="7" t="str">
        <f t="shared" si="15"/>
        <v>March</v>
      </c>
      <c r="E364" s="7" t="str">
        <f t="shared" si="16"/>
        <v>Saturday</v>
      </c>
      <c r="F364" s="10">
        <v>0.30416666666666664</v>
      </c>
      <c r="G364" s="10" t="str">
        <f t="shared" si="17"/>
        <v>7:00 AM – 8:00 AM</v>
      </c>
      <c r="H364" s="7">
        <v>210</v>
      </c>
      <c r="I364" s="7">
        <v>141</v>
      </c>
      <c r="J364" s="7">
        <v>5</v>
      </c>
      <c r="K364" s="7">
        <v>190</v>
      </c>
      <c r="L364" s="7">
        <v>1</v>
      </c>
      <c r="M364" s="7">
        <v>1</v>
      </c>
      <c r="N364" s="7">
        <v>0</v>
      </c>
      <c r="O364" s="7">
        <v>193</v>
      </c>
      <c r="P364" s="7">
        <v>0</v>
      </c>
    </row>
    <row r="365" spans="1:16" x14ac:dyDescent="0.3">
      <c r="A365" s="11" t="s">
        <v>372</v>
      </c>
      <c r="B365" s="11">
        <v>45353</v>
      </c>
      <c r="C365" s="8">
        <v>2024</v>
      </c>
      <c r="D365" s="8" t="str">
        <f t="shared" si="15"/>
        <v>March</v>
      </c>
      <c r="E365" s="8" t="str">
        <f t="shared" si="16"/>
        <v>Saturday</v>
      </c>
      <c r="F365" s="12">
        <v>0.25694444444444442</v>
      </c>
      <c r="G365" s="12" t="str">
        <f t="shared" si="17"/>
        <v>6:00 AM – 7:00 AM</v>
      </c>
      <c r="H365" s="8">
        <v>196</v>
      </c>
      <c r="I365" s="8">
        <v>131</v>
      </c>
      <c r="J365" s="8">
        <v>5</v>
      </c>
      <c r="K365" s="8">
        <v>85</v>
      </c>
      <c r="L365" s="8">
        <v>1</v>
      </c>
      <c r="M365" s="8">
        <v>0</v>
      </c>
      <c r="N365" s="8">
        <v>0</v>
      </c>
      <c r="O365" s="8">
        <v>84</v>
      </c>
      <c r="P365" s="8">
        <v>0</v>
      </c>
    </row>
    <row r="366" spans="1:16" x14ac:dyDescent="0.3">
      <c r="A366" s="9" t="s">
        <v>380</v>
      </c>
      <c r="B366" s="9">
        <v>45345</v>
      </c>
      <c r="C366" s="7">
        <v>2024</v>
      </c>
      <c r="D366" s="7" t="str">
        <f t="shared" si="15"/>
        <v>February</v>
      </c>
      <c r="E366" s="7" t="str">
        <f t="shared" si="16"/>
        <v>Friday</v>
      </c>
      <c r="F366" s="10">
        <v>0.19305555555555556</v>
      </c>
      <c r="G366" s="10" t="str">
        <f t="shared" si="17"/>
        <v>4:00 AM – 5:00 AM</v>
      </c>
      <c r="H366" s="7">
        <v>188</v>
      </c>
      <c r="I366" s="7">
        <v>125</v>
      </c>
      <c r="J366" s="7">
        <v>5</v>
      </c>
      <c r="K366" s="7">
        <v>62</v>
      </c>
      <c r="L366" s="7">
        <v>1</v>
      </c>
      <c r="M366" s="7">
        <v>0</v>
      </c>
      <c r="N366" s="7">
        <v>0</v>
      </c>
      <c r="O366" s="7">
        <v>62</v>
      </c>
      <c r="P366" s="7">
        <v>0</v>
      </c>
    </row>
    <row r="367" spans="1:16" x14ac:dyDescent="0.3">
      <c r="A367" s="11" t="s">
        <v>382</v>
      </c>
      <c r="B367" s="11">
        <v>45343</v>
      </c>
      <c r="C367" s="8">
        <v>2024</v>
      </c>
      <c r="D367" s="8" t="str">
        <f t="shared" si="15"/>
        <v>February</v>
      </c>
      <c r="E367" s="8" t="str">
        <f t="shared" si="16"/>
        <v>Wednesday</v>
      </c>
      <c r="F367" s="12">
        <v>0.125</v>
      </c>
      <c r="G367" s="12" t="str">
        <f t="shared" si="17"/>
        <v>3:00 AM – 4:00 AM</v>
      </c>
      <c r="H367" s="8">
        <v>186</v>
      </c>
      <c r="I367" s="8">
        <v>124</v>
      </c>
      <c r="J367" s="8">
        <v>5</v>
      </c>
      <c r="K367" s="8">
        <v>55</v>
      </c>
      <c r="L367" s="8">
        <v>1</v>
      </c>
      <c r="M367" s="8">
        <v>0</v>
      </c>
      <c r="N367" s="8">
        <v>0</v>
      </c>
      <c r="O367" s="8">
        <v>56</v>
      </c>
      <c r="P367" s="8">
        <v>-1</v>
      </c>
    </row>
    <row r="368" spans="1:16" x14ac:dyDescent="0.3">
      <c r="A368" s="9" t="s">
        <v>384</v>
      </c>
      <c r="B368" s="9">
        <v>45341</v>
      </c>
      <c r="C368" s="7">
        <v>2024</v>
      </c>
      <c r="D368" s="7" t="str">
        <f t="shared" si="15"/>
        <v>February</v>
      </c>
      <c r="E368" s="7" t="str">
        <f t="shared" si="16"/>
        <v>Monday</v>
      </c>
      <c r="F368" s="10">
        <v>0.13472222222222222</v>
      </c>
      <c r="G368" s="10" t="str">
        <f t="shared" si="17"/>
        <v>3:00 AM – 4:00 AM</v>
      </c>
      <c r="H368" s="7">
        <v>184</v>
      </c>
      <c r="I368" s="7">
        <v>125</v>
      </c>
      <c r="J368" s="7">
        <v>5</v>
      </c>
      <c r="K368" s="7">
        <v>57</v>
      </c>
      <c r="L368" s="7">
        <v>1</v>
      </c>
      <c r="M368" s="7">
        <v>7</v>
      </c>
      <c r="N368" s="7">
        <v>0</v>
      </c>
      <c r="O368" s="7">
        <v>65</v>
      </c>
      <c r="P368" s="7">
        <v>0</v>
      </c>
    </row>
    <row r="369" spans="1:16" x14ac:dyDescent="0.3">
      <c r="A369" s="11" t="s">
        <v>389</v>
      </c>
      <c r="B369" s="11">
        <v>45336</v>
      </c>
      <c r="C369" s="8">
        <v>2024</v>
      </c>
      <c r="D369" s="8" t="str">
        <f t="shared" si="15"/>
        <v>February</v>
      </c>
      <c r="E369" s="8" t="str">
        <f t="shared" si="16"/>
        <v>Wednesday</v>
      </c>
      <c r="F369" s="12">
        <v>0.16458333333333333</v>
      </c>
      <c r="G369" s="12" t="str">
        <f t="shared" si="17"/>
        <v>3:00 AM – 4:00 AM</v>
      </c>
      <c r="H369" s="8">
        <v>179</v>
      </c>
      <c r="I369" s="8">
        <v>127</v>
      </c>
      <c r="J369" s="8">
        <v>5</v>
      </c>
      <c r="K369" s="8">
        <v>76</v>
      </c>
      <c r="L369" s="8">
        <v>1</v>
      </c>
      <c r="M369" s="8">
        <v>1</v>
      </c>
      <c r="N369" s="8">
        <v>1</v>
      </c>
      <c r="O369" s="8">
        <v>76</v>
      </c>
      <c r="P369" s="8">
        <v>2</v>
      </c>
    </row>
    <row r="370" spans="1:16" x14ac:dyDescent="0.3">
      <c r="A370" s="9" t="s">
        <v>390</v>
      </c>
      <c r="B370" s="9">
        <v>45335</v>
      </c>
      <c r="C370" s="7">
        <v>2024</v>
      </c>
      <c r="D370" s="7" t="str">
        <f t="shared" si="15"/>
        <v>February</v>
      </c>
      <c r="E370" s="7" t="str">
        <f t="shared" si="16"/>
        <v>Tuesday</v>
      </c>
      <c r="F370" s="10">
        <v>0.15138888888888888</v>
      </c>
      <c r="G370" s="10" t="str">
        <f t="shared" si="17"/>
        <v>3:00 AM – 4:00 AM</v>
      </c>
      <c r="H370" s="7">
        <v>178</v>
      </c>
      <c r="I370" s="7">
        <v>125</v>
      </c>
      <c r="J370" s="7">
        <v>5</v>
      </c>
      <c r="K370" s="7">
        <v>82</v>
      </c>
      <c r="L370" s="7">
        <v>3</v>
      </c>
      <c r="M370" s="7">
        <v>0</v>
      </c>
      <c r="N370" s="7">
        <v>0</v>
      </c>
      <c r="O370" s="7">
        <v>84</v>
      </c>
      <c r="P370" s="7">
        <v>1</v>
      </c>
    </row>
    <row r="371" spans="1:16" x14ac:dyDescent="0.3">
      <c r="A371" s="11" t="s">
        <v>395</v>
      </c>
      <c r="B371" s="11">
        <v>45330</v>
      </c>
      <c r="C371" s="8">
        <v>2024</v>
      </c>
      <c r="D371" s="8" t="str">
        <f t="shared" si="15"/>
        <v>February</v>
      </c>
      <c r="E371" s="8" t="str">
        <f t="shared" si="16"/>
        <v>Thursday</v>
      </c>
      <c r="F371" s="12">
        <v>0.14791666666666667</v>
      </c>
      <c r="G371" s="12" t="str">
        <f t="shared" si="17"/>
        <v>3:00 AM – 4:00 AM</v>
      </c>
      <c r="H371" s="8">
        <v>173</v>
      </c>
      <c r="I371" s="8">
        <v>124</v>
      </c>
      <c r="J371" s="8">
        <v>5</v>
      </c>
      <c r="K371" s="8">
        <v>49</v>
      </c>
      <c r="L371" s="8">
        <v>1</v>
      </c>
      <c r="M371" s="8">
        <v>0</v>
      </c>
      <c r="N371" s="8">
        <v>1</v>
      </c>
      <c r="O371" s="8">
        <v>51</v>
      </c>
      <c r="P371" s="8">
        <v>1</v>
      </c>
    </row>
    <row r="372" spans="1:16" x14ac:dyDescent="0.3">
      <c r="A372" s="9" t="s">
        <v>398</v>
      </c>
      <c r="B372" s="9">
        <v>45327</v>
      </c>
      <c r="C372" s="7">
        <v>2024</v>
      </c>
      <c r="D372" s="7" t="str">
        <f t="shared" si="15"/>
        <v>February</v>
      </c>
      <c r="E372" s="7" t="str">
        <f t="shared" si="16"/>
        <v>Monday</v>
      </c>
      <c r="F372" s="10">
        <v>0.2361111111111111</v>
      </c>
      <c r="G372" s="10" t="str">
        <f t="shared" si="17"/>
        <v>5:00 AM – 6:00 AM</v>
      </c>
      <c r="H372" s="7">
        <v>170</v>
      </c>
      <c r="I372" s="7">
        <v>122</v>
      </c>
      <c r="J372" s="7">
        <v>5</v>
      </c>
      <c r="K372" s="7">
        <v>50</v>
      </c>
      <c r="L372" s="7">
        <v>1</v>
      </c>
      <c r="M372" s="7">
        <v>2</v>
      </c>
      <c r="N372" s="7">
        <v>0</v>
      </c>
      <c r="O372" s="7">
        <v>53</v>
      </c>
      <c r="P372" s="7">
        <v>0</v>
      </c>
    </row>
    <row r="373" spans="1:16" x14ac:dyDescent="0.3">
      <c r="A373" s="11" t="s">
        <v>421</v>
      </c>
      <c r="B373" s="11">
        <v>45304</v>
      </c>
      <c r="C373" s="8">
        <v>2024</v>
      </c>
      <c r="D373" s="8" t="str">
        <f t="shared" si="15"/>
        <v>January</v>
      </c>
      <c r="E373" s="8" t="str">
        <f t="shared" si="16"/>
        <v>Saturday</v>
      </c>
      <c r="F373" s="12">
        <v>0.27083333333333331</v>
      </c>
      <c r="G373" s="12" t="str">
        <f t="shared" si="17"/>
        <v>6:00 AM – 7:00 AM</v>
      </c>
      <c r="H373" s="8">
        <v>147</v>
      </c>
      <c r="I373" s="8">
        <v>97</v>
      </c>
      <c r="J373" s="8">
        <v>5</v>
      </c>
      <c r="K373" s="8">
        <v>50</v>
      </c>
      <c r="L373" s="8">
        <v>1</v>
      </c>
      <c r="M373" s="8">
        <v>3</v>
      </c>
      <c r="N373" s="8">
        <v>0</v>
      </c>
      <c r="O373" s="8">
        <v>56</v>
      </c>
      <c r="P373" s="8">
        <v>4</v>
      </c>
    </row>
    <row r="374" spans="1:16" x14ac:dyDescent="0.3">
      <c r="A374" s="9" t="s">
        <v>23</v>
      </c>
      <c r="B374" s="9">
        <v>45701</v>
      </c>
      <c r="C374" s="7">
        <v>2025</v>
      </c>
      <c r="D374" s="7" t="str">
        <f t="shared" si="15"/>
        <v>February</v>
      </c>
      <c r="E374" s="7" t="str">
        <f t="shared" si="16"/>
        <v>Thursday</v>
      </c>
      <c r="F374" s="10">
        <v>0.61736111111111114</v>
      </c>
      <c r="G374" s="10" t="str">
        <f t="shared" si="17"/>
        <v>2:00 PM – 3:00 PM</v>
      </c>
      <c r="H374" s="7">
        <v>545</v>
      </c>
      <c r="I374" s="7">
        <v>1293</v>
      </c>
      <c r="J374" s="7">
        <v>4</v>
      </c>
      <c r="K374" s="7">
        <v>189</v>
      </c>
      <c r="L374" s="7">
        <v>2</v>
      </c>
      <c r="M374" s="7">
        <v>1</v>
      </c>
      <c r="N374" s="7">
        <v>0</v>
      </c>
      <c r="O374" s="7">
        <v>188</v>
      </c>
      <c r="P374" s="7">
        <v>0</v>
      </c>
    </row>
    <row r="375" spans="1:16" x14ac:dyDescent="0.3">
      <c r="A375" s="11" t="s">
        <v>59</v>
      </c>
      <c r="B375" s="11">
        <v>45665</v>
      </c>
      <c r="C375" s="8">
        <v>2025</v>
      </c>
      <c r="D375" s="8" t="str">
        <f t="shared" si="15"/>
        <v>January</v>
      </c>
      <c r="E375" s="8" t="str">
        <f t="shared" si="16"/>
        <v>Wednesday</v>
      </c>
      <c r="F375" s="12">
        <v>0.60486111111111107</v>
      </c>
      <c r="G375" s="12" t="str">
        <f t="shared" si="17"/>
        <v>2:00 PM – 3:00 PM</v>
      </c>
      <c r="H375" s="8">
        <v>509</v>
      </c>
      <c r="I375" s="8">
        <v>1269</v>
      </c>
      <c r="J375" s="8">
        <v>4</v>
      </c>
      <c r="K375" s="8">
        <v>165</v>
      </c>
      <c r="L375" s="8">
        <v>1</v>
      </c>
      <c r="M375" s="8">
        <v>0</v>
      </c>
      <c r="N375" s="8">
        <v>0</v>
      </c>
      <c r="O375" s="8">
        <v>169</v>
      </c>
      <c r="P375" s="8">
        <v>9</v>
      </c>
    </row>
    <row r="376" spans="1:16" x14ac:dyDescent="0.3">
      <c r="A376" s="9" t="s">
        <v>120</v>
      </c>
      <c r="B376" s="9">
        <v>45604</v>
      </c>
      <c r="C376" s="7">
        <v>2024</v>
      </c>
      <c r="D376" s="7" t="str">
        <f t="shared" si="15"/>
        <v>November</v>
      </c>
      <c r="E376" s="7" t="str">
        <f t="shared" si="16"/>
        <v>Friday</v>
      </c>
      <c r="F376" s="10">
        <v>0.59027777777777779</v>
      </c>
      <c r="G376" s="10" t="str">
        <f t="shared" si="17"/>
        <v>2:00 PM – 3:00 PM</v>
      </c>
      <c r="H376" s="7">
        <v>448</v>
      </c>
      <c r="I376" s="7">
        <v>772</v>
      </c>
      <c r="J376" s="7">
        <v>4</v>
      </c>
      <c r="K376" s="7">
        <v>216</v>
      </c>
      <c r="L376" s="7">
        <v>1</v>
      </c>
      <c r="M376" s="7">
        <v>0</v>
      </c>
      <c r="N376" s="7">
        <v>1</v>
      </c>
      <c r="O376" s="7">
        <v>214</v>
      </c>
      <c r="P376" s="7">
        <v>0</v>
      </c>
    </row>
    <row r="377" spans="1:16" x14ac:dyDescent="0.3">
      <c r="A377" s="11" t="s">
        <v>158</v>
      </c>
      <c r="B377" s="11">
        <v>45567</v>
      </c>
      <c r="C377" s="8">
        <v>2024</v>
      </c>
      <c r="D377" s="8" t="str">
        <f t="shared" si="15"/>
        <v>October</v>
      </c>
      <c r="E377" s="8" t="str">
        <f t="shared" si="16"/>
        <v>Wednesday</v>
      </c>
      <c r="F377" s="12">
        <v>0.27847222222222223</v>
      </c>
      <c r="G377" s="12" t="str">
        <f t="shared" si="17"/>
        <v>6:00 AM – 7:00 AM</v>
      </c>
      <c r="H377" s="8">
        <v>410</v>
      </c>
      <c r="I377" s="8">
        <v>696</v>
      </c>
      <c r="J377" s="8">
        <v>4</v>
      </c>
      <c r="K377" s="8">
        <v>118</v>
      </c>
      <c r="L377" s="8">
        <v>1</v>
      </c>
      <c r="M377" s="8">
        <v>1</v>
      </c>
      <c r="N377" s="8">
        <v>0</v>
      </c>
      <c r="O377" s="8">
        <v>114</v>
      </c>
      <c r="P377" s="8">
        <v>0</v>
      </c>
    </row>
    <row r="378" spans="1:16" x14ac:dyDescent="0.3">
      <c r="A378" s="9" t="s">
        <v>173</v>
      </c>
      <c r="B378" s="9">
        <v>45551</v>
      </c>
      <c r="C378" s="7">
        <v>2024</v>
      </c>
      <c r="D378" s="7" t="str">
        <f t="shared" si="15"/>
        <v>September</v>
      </c>
      <c r="E378" s="7" t="str">
        <f t="shared" si="16"/>
        <v>Monday</v>
      </c>
      <c r="F378" s="10">
        <v>0.51458333333333328</v>
      </c>
      <c r="G378" s="10" t="str">
        <f t="shared" si="17"/>
        <v>12:00 PM – 1:00 PM</v>
      </c>
      <c r="H378" s="7">
        <v>395</v>
      </c>
      <c r="I378" s="7">
        <v>645</v>
      </c>
      <c r="J378" s="7">
        <v>4</v>
      </c>
      <c r="K378" s="7">
        <v>114</v>
      </c>
      <c r="L378" s="7">
        <v>2</v>
      </c>
      <c r="M378" s="7">
        <v>0</v>
      </c>
      <c r="N378" s="7">
        <v>2</v>
      </c>
      <c r="O378" s="7">
        <v>117</v>
      </c>
      <c r="P378" s="7">
        <v>2</v>
      </c>
    </row>
    <row r="379" spans="1:16" x14ac:dyDescent="0.3">
      <c r="A379" s="11" t="s">
        <v>184</v>
      </c>
      <c r="B379" s="11">
        <v>45540</v>
      </c>
      <c r="C379" s="8">
        <v>2024</v>
      </c>
      <c r="D379" s="8" t="str">
        <f t="shared" si="15"/>
        <v>September</v>
      </c>
      <c r="E379" s="8" t="str">
        <f t="shared" si="16"/>
        <v>Thursday</v>
      </c>
      <c r="F379" s="12">
        <v>0.29722222222222222</v>
      </c>
      <c r="G379" s="12" t="str">
        <f t="shared" si="17"/>
        <v>7:00 AM – 8:00 AM</v>
      </c>
      <c r="H379" s="8">
        <v>384</v>
      </c>
      <c r="I379" s="8">
        <v>610</v>
      </c>
      <c r="J379" s="8">
        <v>4</v>
      </c>
      <c r="K379" s="8">
        <v>156</v>
      </c>
      <c r="L379" s="8">
        <v>1</v>
      </c>
      <c r="M379" s="8">
        <v>2</v>
      </c>
      <c r="N379" s="8">
        <v>0</v>
      </c>
      <c r="O379" s="8">
        <v>160</v>
      </c>
      <c r="P379" s="8">
        <v>6</v>
      </c>
    </row>
    <row r="380" spans="1:16" x14ac:dyDescent="0.3">
      <c r="A380" s="9" t="s">
        <v>206</v>
      </c>
      <c r="B380" s="9">
        <v>45518</v>
      </c>
      <c r="C380" s="7">
        <v>2024</v>
      </c>
      <c r="D380" s="7" t="str">
        <f t="shared" si="15"/>
        <v>August</v>
      </c>
      <c r="E380" s="7" t="str">
        <f t="shared" si="16"/>
        <v>Wednesday</v>
      </c>
      <c r="F380" s="10">
        <v>0.29236111111111113</v>
      </c>
      <c r="G380" s="10" t="str">
        <f t="shared" si="17"/>
        <v>7:00 AM – 8:00 AM</v>
      </c>
      <c r="H380" s="7">
        <v>362</v>
      </c>
      <c r="I380" s="7">
        <v>568</v>
      </c>
      <c r="J380" s="7">
        <v>4</v>
      </c>
      <c r="K380" s="7">
        <v>55</v>
      </c>
      <c r="L380" s="7">
        <v>1</v>
      </c>
      <c r="M380" s="7">
        <v>0</v>
      </c>
      <c r="N380" s="7">
        <v>0</v>
      </c>
      <c r="O380" s="7">
        <v>57</v>
      </c>
      <c r="P380" s="7">
        <v>0</v>
      </c>
    </row>
    <row r="381" spans="1:16" x14ac:dyDescent="0.3">
      <c r="A381" s="11" t="s">
        <v>233</v>
      </c>
      <c r="B381" s="11">
        <v>45491</v>
      </c>
      <c r="C381" s="8">
        <v>2024</v>
      </c>
      <c r="D381" s="8" t="str">
        <f t="shared" si="15"/>
        <v>July</v>
      </c>
      <c r="E381" s="8" t="str">
        <f t="shared" si="16"/>
        <v>Thursday</v>
      </c>
      <c r="F381" s="12">
        <v>0.28333333333333333</v>
      </c>
      <c r="G381" s="12" t="str">
        <f t="shared" si="17"/>
        <v>6:00 AM – 7:00 AM</v>
      </c>
      <c r="H381" s="8">
        <v>335</v>
      </c>
      <c r="I381" s="8">
        <v>569</v>
      </c>
      <c r="J381" s="8">
        <v>4</v>
      </c>
      <c r="K381" s="8">
        <v>87</v>
      </c>
      <c r="L381" s="8">
        <v>3</v>
      </c>
      <c r="M381" s="8">
        <v>1</v>
      </c>
      <c r="N381" s="8">
        <v>2</v>
      </c>
      <c r="O381" s="8">
        <v>82</v>
      </c>
      <c r="P381" s="8">
        <v>0</v>
      </c>
    </row>
    <row r="382" spans="1:16" x14ac:dyDescent="0.3">
      <c r="A382" s="9" t="s">
        <v>237</v>
      </c>
      <c r="B382" s="9">
        <v>45487</v>
      </c>
      <c r="C382" s="7">
        <v>2024</v>
      </c>
      <c r="D382" s="7" t="str">
        <f t="shared" si="15"/>
        <v>July</v>
      </c>
      <c r="E382" s="7" t="str">
        <f t="shared" si="16"/>
        <v>Sunday</v>
      </c>
      <c r="F382" s="10">
        <v>0.3</v>
      </c>
      <c r="G382" s="10" t="str">
        <f t="shared" si="17"/>
        <v>7:00 AM – 8:00 AM</v>
      </c>
      <c r="H382" s="7">
        <v>331</v>
      </c>
      <c r="I382" s="7">
        <v>571</v>
      </c>
      <c r="J382" s="7">
        <v>4</v>
      </c>
      <c r="K382" s="7">
        <v>61</v>
      </c>
      <c r="L382" s="7">
        <v>1</v>
      </c>
      <c r="M382" s="7">
        <v>0</v>
      </c>
      <c r="N382" s="7">
        <v>0</v>
      </c>
      <c r="O382" s="7">
        <v>55</v>
      </c>
      <c r="P382" s="7">
        <v>-1</v>
      </c>
    </row>
    <row r="383" spans="1:16" x14ac:dyDescent="0.3">
      <c r="A383" s="11" t="s">
        <v>266</v>
      </c>
      <c r="B383" s="11">
        <v>45458</v>
      </c>
      <c r="C383" s="8">
        <v>2024</v>
      </c>
      <c r="D383" s="8" t="str">
        <f t="shared" si="15"/>
        <v>June</v>
      </c>
      <c r="E383" s="8" t="str">
        <f t="shared" si="16"/>
        <v>Saturday</v>
      </c>
      <c r="F383" s="12">
        <v>0.28888888888888886</v>
      </c>
      <c r="G383" s="12" t="str">
        <f t="shared" si="17"/>
        <v>6:00 AM – 7:00 AM</v>
      </c>
      <c r="H383" s="8">
        <v>302</v>
      </c>
      <c r="I383" s="8">
        <v>519</v>
      </c>
      <c r="J383" s="8">
        <v>4</v>
      </c>
      <c r="K383" s="8">
        <v>100</v>
      </c>
      <c r="L383" s="8">
        <v>1</v>
      </c>
      <c r="M383" s="8">
        <v>0</v>
      </c>
      <c r="N383" s="8">
        <v>2</v>
      </c>
      <c r="O383" s="8">
        <v>113</v>
      </c>
      <c r="P383" s="8">
        <v>0</v>
      </c>
    </row>
    <row r="384" spans="1:16" x14ac:dyDescent="0.3">
      <c r="A384" s="9" t="s">
        <v>268</v>
      </c>
      <c r="B384" s="9">
        <v>45456</v>
      </c>
      <c r="C384" s="7">
        <v>2024</v>
      </c>
      <c r="D384" s="7" t="str">
        <f t="shared" si="15"/>
        <v>June</v>
      </c>
      <c r="E384" s="7" t="str">
        <f t="shared" si="16"/>
        <v>Thursday</v>
      </c>
      <c r="F384" s="10">
        <v>0.27916666666666667</v>
      </c>
      <c r="G384" s="10" t="str">
        <f t="shared" si="17"/>
        <v>6:00 AM – 7:00 AM</v>
      </c>
      <c r="H384" s="7">
        <v>300</v>
      </c>
      <c r="I384" s="7">
        <v>519</v>
      </c>
      <c r="J384" s="7">
        <v>4</v>
      </c>
      <c r="K384" s="7">
        <v>72</v>
      </c>
      <c r="L384" s="7">
        <v>1</v>
      </c>
      <c r="M384" s="7">
        <v>0</v>
      </c>
      <c r="N384" s="7">
        <v>0</v>
      </c>
      <c r="O384" s="7">
        <v>81</v>
      </c>
      <c r="P384" s="7">
        <v>1</v>
      </c>
    </row>
    <row r="385" spans="1:16" x14ac:dyDescent="0.3">
      <c r="A385" s="11" t="s">
        <v>275</v>
      </c>
      <c r="B385" s="11">
        <v>45449</v>
      </c>
      <c r="C385" s="8">
        <v>2024</v>
      </c>
      <c r="D385" s="8" t="str">
        <f t="shared" si="15"/>
        <v>June</v>
      </c>
      <c r="E385" s="8" t="str">
        <f t="shared" si="16"/>
        <v>Thursday</v>
      </c>
      <c r="F385" s="12">
        <v>0.27569444444444446</v>
      </c>
      <c r="G385" s="12" t="str">
        <f t="shared" si="17"/>
        <v>6:00 AM – 7:00 AM</v>
      </c>
      <c r="H385" s="8">
        <v>293</v>
      </c>
      <c r="I385" s="8">
        <v>514</v>
      </c>
      <c r="J385" s="8">
        <v>4</v>
      </c>
      <c r="K385" s="8">
        <v>59</v>
      </c>
      <c r="L385" s="8">
        <v>1</v>
      </c>
      <c r="M385" s="8">
        <v>0</v>
      </c>
      <c r="N385" s="8">
        <v>0</v>
      </c>
      <c r="O385" s="8">
        <v>68</v>
      </c>
      <c r="P385" s="8">
        <v>-1</v>
      </c>
    </row>
    <row r="386" spans="1:16" x14ac:dyDescent="0.3">
      <c r="A386" s="9" t="s">
        <v>284</v>
      </c>
      <c r="B386" s="9">
        <v>45440</v>
      </c>
      <c r="C386" s="7">
        <v>2024</v>
      </c>
      <c r="D386" s="7" t="str">
        <f t="shared" ref="D386:D449" si="18">TEXT(B386,"MMMM")</f>
        <v>May</v>
      </c>
      <c r="E386" s="7" t="str">
        <f t="shared" ref="E386:E449" si="19">TEXT(B386,"dddd")</f>
        <v>Tuesday</v>
      </c>
      <c r="F386" s="10">
        <v>0.29583333333333334</v>
      </c>
      <c r="G386" s="10" t="str">
        <f t="shared" ref="G386:G449" si="20">TEXT(FLOOR(F386,"1:00"),"h:mm AM/PM") &amp; " – " &amp; TEXT(FLOOR(F386,"1:00") + TIME(1,0,0),"h:mm AM/PM")</f>
        <v>7:00 AM – 8:00 AM</v>
      </c>
      <c r="H386" s="7">
        <v>284</v>
      </c>
      <c r="I386" s="7">
        <v>509</v>
      </c>
      <c r="J386" s="7">
        <v>4</v>
      </c>
      <c r="K386" s="7">
        <v>52</v>
      </c>
      <c r="L386" s="7">
        <v>1</v>
      </c>
      <c r="M386" s="7">
        <v>0</v>
      </c>
      <c r="N386" s="7">
        <v>0</v>
      </c>
      <c r="O386" s="7">
        <v>62</v>
      </c>
      <c r="P386" s="7">
        <v>0</v>
      </c>
    </row>
    <row r="387" spans="1:16" x14ac:dyDescent="0.3">
      <c r="A387" s="11" t="s">
        <v>310</v>
      </c>
      <c r="B387" s="11">
        <v>45414</v>
      </c>
      <c r="C387" s="8">
        <v>2024</v>
      </c>
      <c r="D387" s="8" t="str">
        <f t="shared" si="18"/>
        <v>May</v>
      </c>
      <c r="E387" s="8" t="str">
        <f t="shared" si="19"/>
        <v>Thursday</v>
      </c>
      <c r="F387" s="12">
        <v>0.29722222222222222</v>
      </c>
      <c r="G387" s="12" t="str">
        <f t="shared" si="20"/>
        <v>7:00 AM – 8:00 AM</v>
      </c>
      <c r="H387" s="8">
        <v>258</v>
      </c>
      <c r="I387" s="8">
        <v>469</v>
      </c>
      <c r="J387" s="8">
        <v>4</v>
      </c>
      <c r="K387" s="8">
        <v>142</v>
      </c>
      <c r="L387" s="8">
        <v>1</v>
      </c>
      <c r="M387" s="8">
        <v>1</v>
      </c>
      <c r="N387" s="8">
        <v>0</v>
      </c>
      <c r="O387" s="8">
        <v>151</v>
      </c>
      <c r="P387" s="8">
        <v>1</v>
      </c>
    </row>
    <row r="388" spans="1:16" x14ac:dyDescent="0.3">
      <c r="A388" s="9" t="s">
        <v>333</v>
      </c>
      <c r="B388" s="9">
        <v>45391</v>
      </c>
      <c r="C388" s="7">
        <v>2024</v>
      </c>
      <c r="D388" s="7" t="str">
        <f t="shared" si="18"/>
        <v>April</v>
      </c>
      <c r="E388" s="7" t="str">
        <f t="shared" si="19"/>
        <v>Tuesday</v>
      </c>
      <c r="F388" s="10">
        <v>0.24861111111111112</v>
      </c>
      <c r="G388" s="10" t="str">
        <f t="shared" si="20"/>
        <v>5:00 AM – 6:00 AM</v>
      </c>
      <c r="H388" s="7">
        <v>235</v>
      </c>
      <c r="I388" s="7">
        <v>360</v>
      </c>
      <c r="J388" s="7">
        <v>4</v>
      </c>
      <c r="K388" s="7">
        <v>325</v>
      </c>
      <c r="L388" s="7">
        <v>1</v>
      </c>
      <c r="M388" s="7">
        <v>0</v>
      </c>
      <c r="N388" s="7">
        <v>4</v>
      </c>
      <c r="O388" s="7">
        <v>316</v>
      </c>
      <c r="P388" s="7">
        <v>5</v>
      </c>
    </row>
    <row r="389" spans="1:16" x14ac:dyDescent="0.3">
      <c r="A389" s="11" t="s">
        <v>340</v>
      </c>
      <c r="B389" s="11">
        <v>45384</v>
      </c>
      <c r="C389" s="8">
        <v>2024</v>
      </c>
      <c r="D389" s="8" t="str">
        <f t="shared" si="18"/>
        <v>April</v>
      </c>
      <c r="E389" s="8" t="str">
        <f t="shared" si="19"/>
        <v>Tuesday</v>
      </c>
      <c r="F389" s="12">
        <v>0.2722222222222222</v>
      </c>
      <c r="G389" s="12" t="str">
        <f t="shared" si="20"/>
        <v>6:00 AM – 7:00 AM</v>
      </c>
      <c r="H389" s="8">
        <v>228</v>
      </c>
      <c r="I389" s="8">
        <v>292</v>
      </c>
      <c r="J389" s="8">
        <v>4</v>
      </c>
      <c r="K389" s="8">
        <v>262</v>
      </c>
      <c r="L389" s="8">
        <v>2</v>
      </c>
      <c r="M389" s="8">
        <v>0</v>
      </c>
      <c r="N389" s="8">
        <v>1</v>
      </c>
      <c r="O389" s="8">
        <v>260</v>
      </c>
      <c r="P389" s="8">
        <v>24</v>
      </c>
    </row>
    <row r="390" spans="1:16" x14ac:dyDescent="0.3">
      <c r="A390" s="9" t="s">
        <v>346</v>
      </c>
      <c r="B390" s="9">
        <v>45379</v>
      </c>
      <c r="C390" s="7">
        <v>2024</v>
      </c>
      <c r="D390" s="7" t="str">
        <f t="shared" si="18"/>
        <v>March</v>
      </c>
      <c r="E390" s="7" t="str">
        <f t="shared" si="19"/>
        <v>Thursday</v>
      </c>
      <c r="F390" s="10">
        <v>0.12083333333333333</v>
      </c>
      <c r="G390" s="10" t="str">
        <f t="shared" si="20"/>
        <v>2:00 AM – 3:00 AM</v>
      </c>
      <c r="H390" s="7">
        <v>222</v>
      </c>
      <c r="I390" s="7">
        <v>192</v>
      </c>
      <c r="J390" s="7">
        <v>4</v>
      </c>
      <c r="K390" s="7">
        <v>406</v>
      </c>
      <c r="L390" s="7">
        <v>3</v>
      </c>
      <c r="M390" s="7">
        <v>0</v>
      </c>
      <c r="N390" s="7">
        <v>5</v>
      </c>
      <c r="O390" s="7">
        <v>402</v>
      </c>
      <c r="P390" s="7">
        <v>-1</v>
      </c>
    </row>
    <row r="391" spans="1:16" x14ac:dyDescent="0.3">
      <c r="A391" s="11" t="s">
        <v>388</v>
      </c>
      <c r="B391" s="11">
        <v>45337</v>
      </c>
      <c r="C391" s="8">
        <v>2024</v>
      </c>
      <c r="D391" s="8" t="str">
        <f t="shared" si="18"/>
        <v>February</v>
      </c>
      <c r="E391" s="8" t="str">
        <f t="shared" si="19"/>
        <v>Thursday</v>
      </c>
      <c r="F391" s="12">
        <v>0.18402777777777779</v>
      </c>
      <c r="G391" s="12" t="str">
        <f t="shared" si="20"/>
        <v>4:00 AM – 5:00 AM</v>
      </c>
      <c r="H391" s="8">
        <v>180</v>
      </c>
      <c r="I391" s="8">
        <v>125</v>
      </c>
      <c r="J391" s="8">
        <v>4</v>
      </c>
      <c r="K391" s="8">
        <v>64</v>
      </c>
      <c r="L391" s="8">
        <v>1</v>
      </c>
      <c r="M391" s="8">
        <v>0</v>
      </c>
      <c r="N391" s="8">
        <v>1</v>
      </c>
      <c r="O391" s="8">
        <v>68</v>
      </c>
      <c r="P391" s="8">
        <v>-2</v>
      </c>
    </row>
    <row r="392" spans="1:16" x14ac:dyDescent="0.3">
      <c r="A392" s="9" t="s">
        <v>392</v>
      </c>
      <c r="B392" s="9">
        <v>45333</v>
      </c>
      <c r="C392" s="7">
        <v>2024</v>
      </c>
      <c r="D392" s="7" t="str">
        <f t="shared" si="18"/>
        <v>February</v>
      </c>
      <c r="E392" s="7" t="str">
        <f t="shared" si="19"/>
        <v>Sunday</v>
      </c>
      <c r="F392" s="10">
        <v>0.1361111111111111</v>
      </c>
      <c r="G392" s="10" t="str">
        <f t="shared" si="20"/>
        <v>3:00 AM – 4:00 AM</v>
      </c>
      <c r="H392" s="7">
        <v>176</v>
      </c>
      <c r="I392" s="7">
        <v>124</v>
      </c>
      <c r="J392" s="7">
        <v>4</v>
      </c>
      <c r="K392" s="7">
        <v>69</v>
      </c>
      <c r="L392" s="7">
        <v>1</v>
      </c>
      <c r="M392" s="7">
        <v>0</v>
      </c>
      <c r="N392" s="7">
        <v>0</v>
      </c>
      <c r="O392" s="7">
        <v>65</v>
      </c>
      <c r="P392" s="7">
        <v>0</v>
      </c>
    </row>
    <row r="393" spans="1:16" x14ac:dyDescent="0.3">
      <c r="A393" s="11" t="s">
        <v>400</v>
      </c>
      <c r="B393" s="11">
        <v>45325</v>
      </c>
      <c r="C393" s="8">
        <v>2024</v>
      </c>
      <c r="D393" s="8" t="str">
        <f t="shared" si="18"/>
        <v>February</v>
      </c>
      <c r="E393" s="8" t="str">
        <f t="shared" si="19"/>
        <v>Saturday</v>
      </c>
      <c r="F393" s="12">
        <v>0.15833333333333333</v>
      </c>
      <c r="G393" s="12" t="str">
        <f t="shared" si="20"/>
        <v>3:00 AM – 4:00 AM</v>
      </c>
      <c r="H393" s="8">
        <v>168</v>
      </c>
      <c r="I393" s="8">
        <v>122</v>
      </c>
      <c r="J393" s="8">
        <v>4</v>
      </c>
      <c r="K393" s="8">
        <v>46</v>
      </c>
      <c r="L393" s="8">
        <v>1</v>
      </c>
      <c r="M393" s="8">
        <v>1</v>
      </c>
      <c r="N393" s="8">
        <v>0</v>
      </c>
      <c r="O393" s="8">
        <v>46</v>
      </c>
      <c r="P393" s="8">
        <v>1</v>
      </c>
    </row>
    <row r="394" spans="1:16" x14ac:dyDescent="0.3">
      <c r="A394" s="9" t="s">
        <v>419</v>
      </c>
      <c r="B394" s="9">
        <v>45306</v>
      </c>
      <c r="C394" s="7">
        <v>2024</v>
      </c>
      <c r="D394" s="7" t="str">
        <f t="shared" si="18"/>
        <v>January</v>
      </c>
      <c r="E394" s="7" t="str">
        <f t="shared" si="19"/>
        <v>Monday</v>
      </c>
      <c r="F394" s="10">
        <v>0.20347222222222222</v>
      </c>
      <c r="G394" s="10" t="str">
        <f t="shared" si="20"/>
        <v>4:00 AM – 5:00 AM</v>
      </c>
      <c r="H394" s="7">
        <v>149</v>
      </c>
      <c r="I394" s="7">
        <v>111</v>
      </c>
      <c r="J394" s="7">
        <v>4</v>
      </c>
      <c r="K394" s="7">
        <v>46</v>
      </c>
      <c r="L394" s="7">
        <v>1</v>
      </c>
      <c r="M394" s="7">
        <v>0</v>
      </c>
      <c r="N394" s="7">
        <v>0</v>
      </c>
      <c r="O394" s="7">
        <v>46</v>
      </c>
      <c r="P394" s="7">
        <v>7</v>
      </c>
    </row>
    <row r="395" spans="1:16" x14ac:dyDescent="0.3">
      <c r="A395" s="11" t="s">
        <v>430</v>
      </c>
      <c r="B395" s="11">
        <v>45295</v>
      </c>
      <c r="C395" s="8">
        <v>2024</v>
      </c>
      <c r="D395" s="8" t="str">
        <f t="shared" si="18"/>
        <v>January</v>
      </c>
      <c r="E395" s="8" t="str">
        <f t="shared" si="19"/>
        <v>Thursday</v>
      </c>
      <c r="F395" s="12">
        <v>0.38680555555555557</v>
      </c>
      <c r="G395" s="12" t="str">
        <f t="shared" si="20"/>
        <v>9:00 AM – 10:00 AM</v>
      </c>
      <c r="H395" s="8">
        <v>138</v>
      </c>
      <c r="I395" s="8">
        <v>58</v>
      </c>
      <c r="J395" s="8">
        <v>4</v>
      </c>
      <c r="K395" s="8">
        <v>47</v>
      </c>
      <c r="L395" s="8">
        <v>1</v>
      </c>
      <c r="M395" s="8">
        <v>0</v>
      </c>
      <c r="N395" s="8">
        <v>0</v>
      </c>
      <c r="O395" s="8">
        <v>49</v>
      </c>
      <c r="P395" s="8">
        <v>1</v>
      </c>
    </row>
    <row r="396" spans="1:16" x14ac:dyDescent="0.3">
      <c r="A396" s="9" t="s">
        <v>15</v>
      </c>
      <c r="B396" s="9">
        <v>45709</v>
      </c>
      <c r="C396" s="7">
        <v>2025</v>
      </c>
      <c r="D396" s="7" t="str">
        <f t="shared" si="18"/>
        <v>February</v>
      </c>
      <c r="E396" s="7" t="str">
        <f t="shared" si="19"/>
        <v>Friday</v>
      </c>
      <c r="F396" s="10">
        <v>0.7055555555555556</v>
      </c>
      <c r="G396" s="10" t="str">
        <f t="shared" si="20"/>
        <v>4:00 PM – 5:00 PM</v>
      </c>
      <c r="H396" s="7">
        <v>553</v>
      </c>
      <c r="I396" s="7">
        <v>1289</v>
      </c>
      <c r="J396" s="7">
        <v>3</v>
      </c>
      <c r="K396" s="7">
        <v>27</v>
      </c>
      <c r="L396" s="7">
        <v>1</v>
      </c>
      <c r="M396" s="7">
        <v>1</v>
      </c>
      <c r="N396" s="7">
        <v>1</v>
      </c>
      <c r="O396" s="7">
        <v>26</v>
      </c>
      <c r="P396" s="7">
        <v>0</v>
      </c>
    </row>
    <row r="397" spans="1:16" x14ac:dyDescent="0.3">
      <c r="A397" s="11" t="s">
        <v>39</v>
      </c>
      <c r="B397" s="11">
        <v>45685</v>
      </c>
      <c r="C397" s="8">
        <v>2025</v>
      </c>
      <c r="D397" s="8" t="str">
        <f t="shared" si="18"/>
        <v>January</v>
      </c>
      <c r="E397" s="8" t="str">
        <f t="shared" si="19"/>
        <v>Tuesday</v>
      </c>
      <c r="F397" s="12">
        <v>0.63888888888888884</v>
      </c>
      <c r="G397" s="12" t="str">
        <f t="shared" si="20"/>
        <v>3:00 PM – 4:00 PM</v>
      </c>
      <c r="H397" s="8">
        <v>529</v>
      </c>
      <c r="I397" s="8">
        <v>1292</v>
      </c>
      <c r="J397" s="8">
        <v>3</v>
      </c>
      <c r="K397" s="8">
        <v>40</v>
      </c>
      <c r="L397" s="8">
        <v>2</v>
      </c>
      <c r="M397" s="8">
        <v>0</v>
      </c>
      <c r="N397" s="8">
        <v>0</v>
      </c>
      <c r="O397" s="8">
        <v>39</v>
      </c>
      <c r="P397" s="8">
        <v>0</v>
      </c>
    </row>
    <row r="398" spans="1:16" x14ac:dyDescent="0.3">
      <c r="A398" s="9" t="s">
        <v>53</v>
      </c>
      <c r="B398" s="9">
        <v>45671</v>
      </c>
      <c r="C398" s="7">
        <v>2025</v>
      </c>
      <c r="D398" s="7" t="str">
        <f t="shared" si="18"/>
        <v>January</v>
      </c>
      <c r="E398" s="7" t="str">
        <f t="shared" si="19"/>
        <v>Tuesday</v>
      </c>
      <c r="F398" s="10">
        <v>0.59583333333333333</v>
      </c>
      <c r="G398" s="10" t="str">
        <f t="shared" si="20"/>
        <v>2:00 PM – 3:00 PM</v>
      </c>
      <c r="H398" s="7">
        <v>515</v>
      </c>
      <c r="I398" s="7">
        <v>1274</v>
      </c>
      <c r="J398" s="7">
        <v>3</v>
      </c>
      <c r="K398" s="7">
        <v>133</v>
      </c>
      <c r="L398" s="7">
        <v>1</v>
      </c>
      <c r="M398" s="7">
        <v>0</v>
      </c>
      <c r="N398" s="7">
        <v>0</v>
      </c>
      <c r="O398" s="7">
        <v>135</v>
      </c>
      <c r="P398" s="7">
        <v>-1</v>
      </c>
    </row>
    <row r="399" spans="1:16" x14ac:dyDescent="0.3">
      <c r="A399" s="11" t="s">
        <v>56</v>
      </c>
      <c r="B399" s="11">
        <v>45668</v>
      </c>
      <c r="C399" s="8">
        <v>2025</v>
      </c>
      <c r="D399" s="8" t="str">
        <f t="shared" si="18"/>
        <v>January</v>
      </c>
      <c r="E399" s="8" t="str">
        <f t="shared" si="19"/>
        <v>Saturday</v>
      </c>
      <c r="F399" s="12">
        <v>0.45347222222222222</v>
      </c>
      <c r="G399" s="12" t="str">
        <f t="shared" si="20"/>
        <v>10:00 AM – 11:00 AM</v>
      </c>
      <c r="H399" s="8">
        <v>512</v>
      </c>
      <c r="I399" s="8">
        <v>1276</v>
      </c>
      <c r="J399" s="8">
        <v>3</v>
      </c>
      <c r="K399" s="8">
        <v>165</v>
      </c>
      <c r="L399" s="8">
        <v>1</v>
      </c>
      <c r="M399" s="8">
        <v>1</v>
      </c>
      <c r="N399" s="8">
        <v>3</v>
      </c>
      <c r="O399" s="8">
        <v>166</v>
      </c>
      <c r="P399" s="8">
        <v>-3</v>
      </c>
    </row>
    <row r="400" spans="1:16" x14ac:dyDescent="0.3">
      <c r="A400" s="9" t="s">
        <v>147</v>
      </c>
      <c r="B400" s="9">
        <v>45577</v>
      </c>
      <c r="C400" s="7">
        <v>2024</v>
      </c>
      <c r="D400" s="7" t="str">
        <f t="shared" si="18"/>
        <v>October</v>
      </c>
      <c r="E400" s="7" t="str">
        <f t="shared" si="19"/>
        <v>Saturday</v>
      </c>
      <c r="F400" s="10">
        <v>0.4513888888888889</v>
      </c>
      <c r="G400" s="10" t="str">
        <f t="shared" si="20"/>
        <v>10:00 AM – 11:00 AM</v>
      </c>
      <c r="H400" s="7">
        <v>421</v>
      </c>
      <c r="I400" s="7">
        <v>740</v>
      </c>
      <c r="J400" s="7">
        <v>3</v>
      </c>
      <c r="K400" s="7">
        <v>171</v>
      </c>
      <c r="L400" s="7">
        <v>1</v>
      </c>
      <c r="M400" s="7">
        <v>0</v>
      </c>
      <c r="N400" s="7">
        <v>0</v>
      </c>
      <c r="O400" s="7">
        <v>171</v>
      </c>
      <c r="P400" s="7">
        <v>0</v>
      </c>
    </row>
    <row r="401" spans="1:16" x14ac:dyDescent="0.3">
      <c r="A401" s="11" t="s">
        <v>185</v>
      </c>
      <c r="B401" s="11">
        <v>45539</v>
      </c>
      <c r="C401" s="8">
        <v>2024</v>
      </c>
      <c r="D401" s="8" t="str">
        <f t="shared" si="18"/>
        <v>September</v>
      </c>
      <c r="E401" s="8" t="str">
        <f t="shared" si="19"/>
        <v>Wednesday</v>
      </c>
      <c r="F401" s="12">
        <v>0.47430555555555554</v>
      </c>
      <c r="G401" s="12" t="str">
        <f t="shared" si="20"/>
        <v>11:00 AM – 12:00 PM</v>
      </c>
      <c r="H401" s="8">
        <v>383</v>
      </c>
      <c r="I401" s="8">
        <v>604</v>
      </c>
      <c r="J401" s="8">
        <v>3</v>
      </c>
      <c r="K401" s="8">
        <v>98</v>
      </c>
      <c r="L401" s="8">
        <v>1</v>
      </c>
      <c r="M401" s="8">
        <v>3</v>
      </c>
      <c r="N401" s="8">
        <v>2</v>
      </c>
      <c r="O401" s="8">
        <v>99</v>
      </c>
      <c r="P401" s="8">
        <v>5</v>
      </c>
    </row>
    <row r="402" spans="1:16" x14ac:dyDescent="0.3">
      <c r="A402" s="9" t="s">
        <v>198</v>
      </c>
      <c r="B402" s="9">
        <v>45526</v>
      </c>
      <c r="C402" s="7">
        <v>2024</v>
      </c>
      <c r="D402" s="7" t="str">
        <f t="shared" si="18"/>
        <v>August</v>
      </c>
      <c r="E402" s="7" t="str">
        <f t="shared" si="19"/>
        <v>Thursday</v>
      </c>
      <c r="F402" s="10">
        <v>0.28263888888888888</v>
      </c>
      <c r="G402" s="10" t="str">
        <f t="shared" si="20"/>
        <v>6:00 AM – 7:00 AM</v>
      </c>
      <c r="H402" s="7">
        <v>370</v>
      </c>
      <c r="I402" s="7">
        <v>575</v>
      </c>
      <c r="J402" s="7">
        <v>3</v>
      </c>
      <c r="K402" s="7">
        <v>60</v>
      </c>
      <c r="L402" s="7">
        <v>1</v>
      </c>
      <c r="M402" s="7">
        <v>0</v>
      </c>
      <c r="N402" s="7">
        <v>2</v>
      </c>
      <c r="O402" s="7">
        <v>61</v>
      </c>
      <c r="P402" s="7">
        <v>3</v>
      </c>
    </row>
    <row r="403" spans="1:16" x14ac:dyDescent="0.3">
      <c r="A403" s="11" t="s">
        <v>205</v>
      </c>
      <c r="B403" s="11">
        <v>45519</v>
      </c>
      <c r="C403" s="8">
        <v>2024</v>
      </c>
      <c r="D403" s="8" t="str">
        <f t="shared" si="18"/>
        <v>August</v>
      </c>
      <c r="E403" s="8" t="str">
        <f t="shared" si="19"/>
        <v>Thursday</v>
      </c>
      <c r="F403" s="12">
        <v>0.30277777777777776</v>
      </c>
      <c r="G403" s="12" t="str">
        <f t="shared" si="20"/>
        <v>7:00 AM – 8:00 AM</v>
      </c>
      <c r="H403" s="8">
        <v>363</v>
      </c>
      <c r="I403" s="8">
        <v>569</v>
      </c>
      <c r="J403" s="8">
        <v>3</v>
      </c>
      <c r="K403" s="8">
        <v>51</v>
      </c>
      <c r="L403" s="8">
        <v>1</v>
      </c>
      <c r="M403" s="8">
        <v>0</v>
      </c>
      <c r="N403" s="8">
        <v>0</v>
      </c>
      <c r="O403" s="8">
        <v>50</v>
      </c>
      <c r="P403" s="8">
        <v>1</v>
      </c>
    </row>
    <row r="404" spans="1:16" x14ac:dyDescent="0.3">
      <c r="A404" s="9" t="s">
        <v>246</v>
      </c>
      <c r="B404" s="9">
        <v>45478</v>
      </c>
      <c r="C404" s="7">
        <v>2024</v>
      </c>
      <c r="D404" s="7" t="str">
        <f t="shared" si="18"/>
        <v>July</v>
      </c>
      <c r="E404" s="7" t="str">
        <f t="shared" si="19"/>
        <v>Friday</v>
      </c>
      <c r="F404" s="10">
        <v>0.27361111111111114</v>
      </c>
      <c r="G404" s="10" t="str">
        <f t="shared" si="20"/>
        <v>6:00 AM – 7:00 AM</v>
      </c>
      <c r="H404" s="7">
        <v>322</v>
      </c>
      <c r="I404" s="7">
        <v>573</v>
      </c>
      <c r="J404" s="7">
        <v>3</v>
      </c>
      <c r="K404" s="7">
        <v>183</v>
      </c>
      <c r="L404" s="7">
        <v>1</v>
      </c>
      <c r="M404" s="7">
        <v>0</v>
      </c>
      <c r="N404" s="7">
        <v>1</v>
      </c>
      <c r="O404" s="7">
        <v>150</v>
      </c>
      <c r="P404" s="7">
        <v>1</v>
      </c>
    </row>
    <row r="405" spans="1:16" x14ac:dyDescent="0.3">
      <c r="A405" s="11" t="s">
        <v>273</v>
      </c>
      <c r="B405" s="11">
        <v>45451</v>
      </c>
      <c r="C405" s="8">
        <v>2024</v>
      </c>
      <c r="D405" s="8" t="str">
        <f t="shared" si="18"/>
        <v>June</v>
      </c>
      <c r="E405" s="8" t="str">
        <f t="shared" si="19"/>
        <v>Saturday</v>
      </c>
      <c r="F405" s="12">
        <v>0.27708333333333335</v>
      </c>
      <c r="G405" s="12" t="str">
        <f t="shared" si="20"/>
        <v>6:00 AM – 7:00 AM</v>
      </c>
      <c r="H405" s="8">
        <v>295</v>
      </c>
      <c r="I405" s="8">
        <v>514</v>
      </c>
      <c r="J405" s="8">
        <v>3</v>
      </c>
      <c r="K405" s="8">
        <v>81</v>
      </c>
      <c r="L405" s="8">
        <v>1</v>
      </c>
      <c r="M405" s="8">
        <v>0</v>
      </c>
      <c r="N405" s="8">
        <v>0</v>
      </c>
      <c r="O405" s="8">
        <v>92</v>
      </c>
      <c r="P405" s="8">
        <v>1</v>
      </c>
    </row>
    <row r="406" spans="1:16" x14ac:dyDescent="0.3">
      <c r="A406" s="9" t="s">
        <v>283</v>
      </c>
      <c r="B406" s="9">
        <v>45441</v>
      </c>
      <c r="C406" s="7">
        <v>2024</v>
      </c>
      <c r="D406" s="7" t="str">
        <f t="shared" si="18"/>
        <v>May</v>
      </c>
      <c r="E406" s="7" t="str">
        <f t="shared" si="19"/>
        <v>Wednesday</v>
      </c>
      <c r="F406" s="10">
        <v>0.29166666666666669</v>
      </c>
      <c r="G406" s="10" t="str">
        <f t="shared" si="20"/>
        <v>7:00 AM – 8:00 AM</v>
      </c>
      <c r="H406" s="7">
        <v>285</v>
      </c>
      <c r="I406" s="7">
        <v>509</v>
      </c>
      <c r="J406" s="7">
        <v>3</v>
      </c>
      <c r="K406" s="7">
        <v>82</v>
      </c>
      <c r="L406" s="7">
        <v>1</v>
      </c>
      <c r="M406" s="7">
        <v>0</v>
      </c>
      <c r="N406" s="7">
        <v>0</v>
      </c>
      <c r="O406" s="7">
        <v>86</v>
      </c>
      <c r="P406" s="7">
        <v>0</v>
      </c>
    </row>
    <row r="407" spans="1:16" x14ac:dyDescent="0.3">
      <c r="A407" s="11" t="s">
        <v>292</v>
      </c>
      <c r="B407" s="11">
        <v>45432</v>
      </c>
      <c r="C407" s="8">
        <v>2024</v>
      </c>
      <c r="D407" s="8" t="str">
        <f t="shared" si="18"/>
        <v>May</v>
      </c>
      <c r="E407" s="8" t="str">
        <f t="shared" si="19"/>
        <v>Monday</v>
      </c>
      <c r="F407" s="12">
        <v>0.24374999999999999</v>
      </c>
      <c r="G407" s="12" t="str">
        <f t="shared" si="20"/>
        <v>5:00 AM – 6:00 AM</v>
      </c>
      <c r="H407" s="8">
        <v>276</v>
      </c>
      <c r="I407" s="8">
        <v>498</v>
      </c>
      <c r="J407" s="8">
        <v>3</v>
      </c>
      <c r="K407" s="8">
        <v>67</v>
      </c>
      <c r="L407" s="8">
        <v>1</v>
      </c>
      <c r="M407" s="8">
        <v>0</v>
      </c>
      <c r="N407" s="8">
        <v>1</v>
      </c>
      <c r="O407" s="8">
        <v>72</v>
      </c>
      <c r="P407" s="8">
        <v>3</v>
      </c>
    </row>
    <row r="408" spans="1:16" x14ac:dyDescent="0.3">
      <c r="A408" s="9" t="s">
        <v>318</v>
      </c>
      <c r="B408" s="9">
        <v>45406</v>
      </c>
      <c r="C408" s="7">
        <v>2024</v>
      </c>
      <c r="D408" s="7" t="str">
        <f t="shared" si="18"/>
        <v>April</v>
      </c>
      <c r="E408" s="7" t="str">
        <f t="shared" si="19"/>
        <v>Wednesday</v>
      </c>
      <c r="F408" s="10">
        <v>0.34305555555555556</v>
      </c>
      <c r="G408" s="10" t="str">
        <f t="shared" si="20"/>
        <v>8:00 AM – 9:00 AM</v>
      </c>
      <c r="H408" s="7">
        <v>250</v>
      </c>
      <c r="I408" s="7">
        <v>452</v>
      </c>
      <c r="J408" s="7">
        <v>3</v>
      </c>
      <c r="K408" s="7">
        <v>109</v>
      </c>
      <c r="L408" s="7">
        <v>1</v>
      </c>
      <c r="M408" s="7">
        <v>1</v>
      </c>
      <c r="N408" s="7">
        <v>0</v>
      </c>
      <c r="O408" s="7">
        <v>112</v>
      </c>
      <c r="P408" s="7">
        <v>0</v>
      </c>
    </row>
    <row r="409" spans="1:16" x14ac:dyDescent="0.3">
      <c r="A409" s="11" t="s">
        <v>325</v>
      </c>
      <c r="B409" s="11">
        <v>45399</v>
      </c>
      <c r="C409" s="8">
        <v>2024</v>
      </c>
      <c r="D409" s="8" t="str">
        <f t="shared" si="18"/>
        <v>April</v>
      </c>
      <c r="E409" s="8" t="str">
        <f t="shared" si="19"/>
        <v>Wednesday</v>
      </c>
      <c r="F409" s="12">
        <v>0.37847222222222221</v>
      </c>
      <c r="G409" s="12" t="str">
        <f t="shared" si="20"/>
        <v>9:00 AM – 10:00 AM</v>
      </c>
      <c r="H409" s="8">
        <v>243</v>
      </c>
      <c r="I409" s="8">
        <v>436</v>
      </c>
      <c r="J409" s="8">
        <v>3</v>
      </c>
      <c r="K409" s="8">
        <v>131</v>
      </c>
      <c r="L409" s="8">
        <v>1</v>
      </c>
      <c r="M409" s="8">
        <v>0</v>
      </c>
      <c r="N409" s="8">
        <v>2</v>
      </c>
      <c r="O409" s="8">
        <v>138</v>
      </c>
      <c r="P409" s="8">
        <v>6</v>
      </c>
    </row>
    <row r="410" spans="1:16" x14ac:dyDescent="0.3">
      <c r="A410" s="9" t="s">
        <v>377</v>
      </c>
      <c r="B410" s="9">
        <v>45348</v>
      </c>
      <c r="C410" s="7">
        <v>2024</v>
      </c>
      <c r="D410" s="7" t="str">
        <f t="shared" si="18"/>
        <v>February</v>
      </c>
      <c r="E410" s="7" t="str">
        <f t="shared" si="19"/>
        <v>Monday</v>
      </c>
      <c r="F410" s="10">
        <v>0.18333333333333332</v>
      </c>
      <c r="G410" s="10" t="str">
        <f t="shared" si="20"/>
        <v>4:00 AM – 5:00 AM</v>
      </c>
      <c r="H410" s="7">
        <v>191</v>
      </c>
      <c r="I410" s="7">
        <v>131</v>
      </c>
      <c r="J410" s="7">
        <v>3</v>
      </c>
      <c r="K410" s="7">
        <v>78</v>
      </c>
      <c r="L410" s="7">
        <v>1</v>
      </c>
      <c r="M410" s="7">
        <v>0</v>
      </c>
      <c r="N410" s="7">
        <v>1</v>
      </c>
      <c r="O410" s="7">
        <v>78</v>
      </c>
      <c r="P410" s="7">
        <v>1</v>
      </c>
    </row>
    <row r="411" spans="1:16" x14ac:dyDescent="0.3">
      <c r="A411" s="11" t="s">
        <v>385</v>
      </c>
      <c r="B411" s="11">
        <v>45340</v>
      </c>
      <c r="C411" s="8">
        <v>2024</v>
      </c>
      <c r="D411" s="8" t="str">
        <f t="shared" si="18"/>
        <v>February</v>
      </c>
      <c r="E411" s="8" t="str">
        <f t="shared" si="19"/>
        <v>Sunday</v>
      </c>
      <c r="F411" s="12">
        <v>0.15138888888888888</v>
      </c>
      <c r="G411" s="12" t="str">
        <f t="shared" si="20"/>
        <v>3:00 AM – 4:00 AM</v>
      </c>
      <c r="H411" s="8">
        <v>183</v>
      </c>
      <c r="I411" s="8">
        <v>125</v>
      </c>
      <c r="J411" s="8">
        <v>3</v>
      </c>
      <c r="K411" s="8">
        <v>66</v>
      </c>
      <c r="L411" s="8">
        <v>1</v>
      </c>
      <c r="M411" s="8">
        <v>3</v>
      </c>
      <c r="N411" s="8">
        <v>4</v>
      </c>
      <c r="O411" s="8">
        <v>79</v>
      </c>
      <c r="P411" s="8">
        <v>-1</v>
      </c>
    </row>
    <row r="412" spans="1:16" x14ac:dyDescent="0.3">
      <c r="A412" s="9" t="s">
        <v>391</v>
      </c>
      <c r="B412" s="9">
        <v>45334</v>
      </c>
      <c r="C412" s="7">
        <v>2024</v>
      </c>
      <c r="D412" s="7" t="str">
        <f t="shared" si="18"/>
        <v>February</v>
      </c>
      <c r="E412" s="7" t="str">
        <f t="shared" si="19"/>
        <v>Monday</v>
      </c>
      <c r="F412" s="10">
        <v>0.20277777777777778</v>
      </c>
      <c r="G412" s="10" t="str">
        <f t="shared" si="20"/>
        <v>4:00 AM – 5:00 AM</v>
      </c>
      <c r="H412" s="7">
        <v>177</v>
      </c>
      <c r="I412" s="7">
        <v>124</v>
      </c>
      <c r="J412" s="7">
        <v>3</v>
      </c>
      <c r="K412" s="7">
        <v>61</v>
      </c>
      <c r="L412" s="7">
        <v>2</v>
      </c>
      <c r="M412" s="7">
        <v>0</v>
      </c>
      <c r="N412" s="7">
        <v>0</v>
      </c>
      <c r="O412" s="7">
        <v>61</v>
      </c>
      <c r="P412" s="7">
        <v>0</v>
      </c>
    </row>
    <row r="413" spans="1:16" x14ac:dyDescent="0.3">
      <c r="A413" s="11" t="s">
        <v>431</v>
      </c>
      <c r="B413" s="11">
        <v>45294</v>
      </c>
      <c r="C413" s="8">
        <v>2024</v>
      </c>
      <c r="D413" s="8" t="str">
        <f t="shared" si="18"/>
        <v>January</v>
      </c>
      <c r="E413" s="8" t="str">
        <f t="shared" si="19"/>
        <v>Wednesday</v>
      </c>
      <c r="F413" s="12">
        <v>0.19722222222222222</v>
      </c>
      <c r="G413" s="12" t="str">
        <f t="shared" si="20"/>
        <v>4:00 AM – 5:00 AM</v>
      </c>
      <c r="H413" s="8">
        <v>137</v>
      </c>
      <c r="I413" s="8">
        <v>57</v>
      </c>
      <c r="J413" s="8">
        <v>3</v>
      </c>
      <c r="K413" s="8">
        <v>52</v>
      </c>
      <c r="L413" s="8">
        <v>1</v>
      </c>
      <c r="M413" s="8">
        <v>0</v>
      </c>
      <c r="N413" s="8">
        <v>0</v>
      </c>
      <c r="O413" s="8">
        <v>50</v>
      </c>
      <c r="P413" s="8">
        <v>3</v>
      </c>
    </row>
    <row r="414" spans="1:16" x14ac:dyDescent="0.3">
      <c r="A414" s="9" t="s">
        <v>17</v>
      </c>
      <c r="B414" s="9">
        <v>45707</v>
      </c>
      <c r="C414" s="7">
        <v>2025</v>
      </c>
      <c r="D414" s="7" t="str">
        <f t="shared" si="18"/>
        <v>February</v>
      </c>
      <c r="E414" s="7" t="str">
        <f t="shared" si="19"/>
        <v>Wednesday</v>
      </c>
      <c r="F414" s="10">
        <v>0.82986111111111116</v>
      </c>
      <c r="G414" s="10" t="str">
        <f t="shared" si="20"/>
        <v>7:00 PM – 8:00 PM</v>
      </c>
      <c r="H414" s="7">
        <v>551</v>
      </c>
      <c r="I414" s="7">
        <v>1288</v>
      </c>
      <c r="J414" s="7">
        <v>2</v>
      </c>
      <c r="K414" s="7">
        <v>124</v>
      </c>
      <c r="L414" s="7">
        <v>1</v>
      </c>
      <c r="M414" s="7">
        <v>0</v>
      </c>
      <c r="N414" s="7">
        <v>0</v>
      </c>
      <c r="O414" s="7">
        <v>123</v>
      </c>
      <c r="P414" s="7">
        <v>-1</v>
      </c>
    </row>
    <row r="415" spans="1:16" x14ac:dyDescent="0.3">
      <c r="A415" s="11" t="s">
        <v>84</v>
      </c>
      <c r="B415" s="11">
        <v>45640</v>
      </c>
      <c r="C415" s="8">
        <v>2024</v>
      </c>
      <c r="D415" s="8" t="str">
        <f t="shared" si="18"/>
        <v>December</v>
      </c>
      <c r="E415" s="8" t="str">
        <f t="shared" si="19"/>
        <v>Saturday</v>
      </c>
      <c r="F415" s="12">
        <v>0.30138888888888887</v>
      </c>
      <c r="G415" s="12" t="str">
        <f t="shared" si="20"/>
        <v>7:00 AM – 8:00 AM</v>
      </c>
      <c r="H415" s="8">
        <v>484</v>
      </c>
      <c r="I415" s="8">
        <v>790</v>
      </c>
      <c r="J415" s="8">
        <v>2</v>
      </c>
      <c r="K415" s="8">
        <v>531</v>
      </c>
      <c r="L415" s="8">
        <v>2</v>
      </c>
      <c r="M415" s="8">
        <v>0</v>
      </c>
      <c r="N415" s="8">
        <v>0</v>
      </c>
      <c r="O415" s="8">
        <v>528</v>
      </c>
      <c r="P415" s="8">
        <v>1</v>
      </c>
    </row>
    <row r="416" spans="1:16" x14ac:dyDescent="0.3">
      <c r="A416" s="9" t="s">
        <v>203</v>
      </c>
      <c r="B416" s="9">
        <v>45521</v>
      </c>
      <c r="C416" s="7">
        <v>2024</v>
      </c>
      <c r="D416" s="7" t="str">
        <f t="shared" si="18"/>
        <v>August</v>
      </c>
      <c r="E416" s="7" t="str">
        <f t="shared" si="19"/>
        <v>Saturday</v>
      </c>
      <c r="F416" s="10">
        <v>0.28402777777777777</v>
      </c>
      <c r="G416" s="10" t="str">
        <f t="shared" si="20"/>
        <v>6:00 AM – 7:00 AM</v>
      </c>
      <c r="H416" s="7">
        <v>365</v>
      </c>
      <c r="I416" s="7">
        <v>571</v>
      </c>
      <c r="J416" s="7">
        <v>2</v>
      </c>
      <c r="K416" s="7">
        <v>54</v>
      </c>
      <c r="L416" s="7">
        <v>1</v>
      </c>
      <c r="M416" s="7">
        <v>0</v>
      </c>
      <c r="N416" s="7">
        <v>0</v>
      </c>
      <c r="O416" s="7">
        <v>54</v>
      </c>
      <c r="P416" s="7">
        <v>1</v>
      </c>
    </row>
    <row r="417" spans="1:16" x14ac:dyDescent="0.3">
      <c r="A417" s="11" t="s">
        <v>221</v>
      </c>
      <c r="B417" s="11">
        <v>45503</v>
      </c>
      <c r="C417" s="8">
        <v>2024</v>
      </c>
      <c r="D417" s="8" t="str">
        <f t="shared" si="18"/>
        <v>July</v>
      </c>
      <c r="E417" s="8" t="str">
        <f t="shared" si="19"/>
        <v>Tuesday</v>
      </c>
      <c r="F417" s="12">
        <v>0.3034722222222222</v>
      </c>
      <c r="G417" s="12" t="str">
        <f t="shared" si="20"/>
        <v>7:00 AM – 8:00 AM</v>
      </c>
      <c r="H417" s="8">
        <v>347</v>
      </c>
      <c r="I417" s="8">
        <v>567</v>
      </c>
      <c r="J417" s="8">
        <v>2</v>
      </c>
      <c r="K417" s="8">
        <v>32</v>
      </c>
      <c r="L417" s="8">
        <v>1</v>
      </c>
      <c r="M417" s="8">
        <v>0</v>
      </c>
      <c r="N417" s="8">
        <v>1</v>
      </c>
      <c r="O417" s="8">
        <v>38</v>
      </c>
      <c r="P417" s="8">
        <v>0</v>
      </c>
    </row>
    <row r="418" spans="1:16" x14ac:dyDescent="0.3">
      <c r="A418" s="9" t="s">
        <v>227</v>
      </c>
      <c r="B418" s="9">
        <v>45497</v>
      </c>
      <c r="C418" s="7">
        <v>2024</v>
      </c>
      <c r="D418" s="7" t="str">
        <f t="shared" si="18"/>
        <v>July</v>
      </c>
      <c r="E418" s="7" t="str">
        <f t="shared" si="19"/>
        <v>Wednesday</v>
      </c>
      <c r="F418" s="10">
        <v>0.28819444444444442</v>
      </c>
      <c r="G418" s="10" t="str">
        <f t="shared" si="20"/>
        <v>6:00 AM – 7:00 AM</v>
      </c>
      <c r="H418" s="7">
        <v>341</v>
      </c>
      <c r="I418" s="7">
        <v>569</v>
      </c>
      <c r="J418" s="7">
        <v>2</v>
      </c>
      <c r="K418" s="7">
        <v>37</v>
      </c>
      <c r="L418" s="7">
        <v>1</v>
      </c>
      <c r="M418" s="7">
        <v>0</v>
      </c>
      <c r="N418" s="7">
        <v>1</v>
      </c>
      <c r="O418" s="7">
        <v>41</v>
      </c>
      <c r="P418" s="7">
        <v>1</v>
      </c>
    </row>
    <row r="419" spans="1:16" x14ac:dyDescent="0.3">
      <c r="A419" s="11" t="s">
        <v>259</v>
      </c>
      <c r="B419" s="11">
        <v>45465</v>
      </c>
      <c r="C419" s="8">
        <v>2024</v>
      </c>
      <c r="D419" s="8" t="str">
        <f t="shared" si="18"/>
        <v>June</v>
      </c>
      <c r="E419" s="8" t="str">
        <f t="shared" si="19"/>
        <v>Saturday</v>
      </c>
      <c r="F419" s="12">
        <v>0.28888888888888886</v>
      </c>
      <c r="G419" s="12" t="str">
        <f t="shared" si="20"/>
        <v>6:00 AM – 7:00 AM</v>
      </c>
      <c r="H419" s="8">
        <v>309</v>
      </c>
      <c r="I419" s="8">
        <v>522</v>
      </c>
      <c r="J419" s="8">
        <v>2</v>
      </c>
      <c r="K419" s="8">
        <v>63</v>
      </c>
      <c r="L419" s="8">
        <v>1</v>
      </c>
      <c r="M419" s="8">
        <v>0</v>
      </c>
      <c r="N419" s="8">
        <v>1</v>
      </c>
      <c r="O419" s="8">
        <v>67</v>
      </c>
      <c r="P419" s="8">
        <v>-1</v>
      </c>
    </row>
    <row r="420" spans="1:16" x14ac:dyDescent="0.3">
      <c r="A420" s="9" t="s">
        <v>271</v>
      </c>
      <c r="B420" s="9">
        <v>45453</v>
      </c>
      <c r="C420" s="7">
        <v>2024</v>
      </c>
      <c r="D420" s="7" t="str">
        <f t="shared" si="18"/>
        <v>June</v>
      </c>
      <c r="E420" s="7" t="str">
        <f t="shared" si="19"/>
        <v>Monday</v>
      </c>
      <c r="F420" s="10">
        <v>0.2722222222222222</v>
      </c>
      <c r="G420" s="10" t="str">
        <f t="shared" si="20"/>
        <v>6:00 AM – 7:00 AM</v>
      </c>
      <c r="H420" s="7">
        <v>297</v>
      </c>
      <c r="I420" s="7">
        <v>517</v>
      </c>
      <c r="J420" s="7">
        <v>2</v>
      </c>
      <c r="K420" s="7">
        <v>151</v>
      </c>
      <c r="L420" s="7">
        <v>1</v>
      </c>
      <c r="M420" s="7">
        <v>0</v>
      </c>
      <c r="N420" s="7">
        <v>0</v>
      </c>
      <c r="O420" s="7">
        <v>168</v>
      </c>
      <c r="P420" s="7">
        <v>1</v>
      </c>
    </row>
    <row r="421" spans="1:16" x14ac:dyDescent="0.3">
      <c r="A421" s="11" t="s">
        <v>367</v>
      </c>
      <c r="B421" s="11">
        <v>45358</v>
      </c>
      <c r="C421" s="8">
        <v>2024</v>
      </c>
      <c r="D421" s="8" t="str">
        <f t="shared" si="18"/>
        <v>March</v>
      </c>
      <c r="E421" s="8" t="str">
        <f t="shared" si="19"/>
        <v>Thursday</v>
      </c>
      <c r="F421" s="12">
        <v>0.22152777777777777</v>
      </c>
      <c r="G421" s="12" t="str">
        <f t="shared" si="20"/>
        <v>5:00 AM – 6:00 AM</v>
      </c>
      <c r="H421" s="8">
        <v>201</v>
      </c>
      <c r="I421" s="8">
        <v>134</v>
      </c>
      <c r="J421" s="8">
        <v>2</v>
      </c>
      <c r="K421" s="8">
        <v>94</v>
      </c>
      <c r="L421" s="8">
        <v>1</v>
      </c>
      <c r="M421" s="8">
        <v>0</v>
      </c>
      <c r="N421" s="8">
        <v>0</v>
      </c>
      <c r="O421" s="8">
        <v>95</v>
      </c>
      <c r="P421" s="8">
        <v>2</v>
      </c>
    </row>
    <row r="422" spans="1:16" x14ac:dyDescent="0.3">
      <c r="A422" s="9" t="s">
        <v>368</v>
      </c>
      <c r="B422" s="9">
        <v>45357</v>
      </c>
      <c r="C422" s="7">
        <v>2024</v>
      </c>
      <c r="D422" s="7" t="str">
        <f t="shared" si="18"/>
        <v>March</v>
      </c>
      <c r="E422" s="7" t="str">
        <f t="shared" si="19"/>
        <v>Wednesday</v>
      </c>
      <c r="F422" s="10">
        <v>0.16805555555555557</v>
      </c>
      <c r="G422" s="10" t="str">
        <f t="shared" si="20"/>
        <v>4:00 AM – 5:00 AM</v>
      </c>
      <c r="H422" s="7">
        <v>200</v>
      </c>
      <c r="I422" s="7">
        <v>132</v>
      </c>
      <c r="J422" s="7">
        <v>2</v>
      </c>
      <c r="K422" s="7">
        <v>201</v>
      </c>
      <c r="L422" s="7">
        <v>1</v>
      </c>
      <c r="M422" s="7">
        <v>0</v>
      </c>
      <c r="N422" s="7">
        <v>0</v>
      </c>
      <c r="O422" s="7">
        <v>197</v>
      </c>
      <c r="P422" s="7">
        <v>0</v>
      </c>
    </row>
    <row r="423" spans="1:16" x14ac:dyDescent="0.3">
      <c r="A423" s="11" t="s">
        <v>374</v>
      </c>
      <c r="B423" s="11">
        <v>45351</v>
      </c>
      <c r="C423" s="8">
        <v>2024</v>
      </c>
      <c r="D423" s="8" t="str">
        <f t="shared" si="18"/>
        <v>February</v>
      </c>
      <c r="E423" s="8" t="str">
        <f t="shared" si="19"/>
        <v>Thursday</v>
      </c>
      <c r="F423" s="12">
        <v>0.17083333333333334</v>
      </c>
      <c r="G423" s="12" t="str">
        <f t="shared" si="20"/>
        <v>4:00 AM – 5:00 AM</v>
      </c>
      <c r="H423" s="8">
        <v>194</v>
      </c>
      <c r="I423" s="8">
        <v>131</v>
      </c>
      <c r="J423" s="8">
        <v>2</v>
      </c>
      <c r="K423" s="8">
        <v>81</v>
      </c>
      <c r="L423" s="8">
        <v>1</v>
      </c>
      <c r="M423" s="8">
        <v>0</v>
      </c>
      <c r="N423" s="8">
        <v>0</v>
      </c>
      <c r="O423" s="8">
        <v>78</v>
      </c>
      <c r="P423" s="8">
        <v>2</v>
      </c>
    </row>
    <row r="424" spans="1:16" x14ac:dyDescent="0.3">
      <c r="A424" s="9" t="s">
        <v>378</v>
      </c>
      <c r="B424" s="9">
        <v>45347</v>
      </c>
      <c r="C424" s="7">
        <v>2024</v>
      </c>
      <c r="D424" s="7" t="str">
        <f t="shared" si="18"/>
        <v>February</v>
      </c>
      <c r="E424" s="7" t="str">
        <f t="shared" si="19"/>
        <v>Sunday</v>
      </c>
      <c r="F424" s="10">
        <v>0.2013888888888889</v>
      </c>
      <c r="G424" s="10" t="str">
        <f t="shared" si="20"/>
        <v>4:00 AM – 5:00 AM</v>
      </c>
      <c r="H424" s="7">
        <v>190</v>
      </c>
      <c r="I424" s="7">
        <v>130</v>
      </c>
      <c r="J424" s="7">
        <v>2</v>
      </c>
      <c r="K424" s="7">
        <v>69</v>
      </c>
      <c r="L424" s="7">
        <v>1</v>
      </c>
      <c r="M424" s="7">
        <v>7</v>
      </c>
      <c r="N424" s="7">
        <v>0</v>
      </c>
      <c r="O424" s="7">
        <v>71</v>
      </c>
      <c r="P424" s="7">
        <v>0</v>
      </c>
    </row>
    <row r="425" spans="1:16" x14ac:dyDescent="0.3">
      <c r="A425" s="11" t="s">
        <v>405</v>
      </c>
      <c r="B425" s="11">
        <v>45320</v>
      </c>
      <c r="C425" s="8">
        <v>2024</v>
      </c>
      <c r="D425" s="8" t="str">
        <f t="shared" si="18"/>
        <v>January</v>
      </c>
      <c r="E425" s="8" t="str">
        <f t="shared" si="19"/>
        <v>Monday</v>
      </c>
      <c r="F425" s="12">
        <v>0.10972222222222222</v>
      </c>
      <c r="G425" s="12" t="str">
        <f t="shared" si="20"/>
        <v>2:00 AM – 3:00 AM</v>
      </c>
      <c r="H425" s="8">
        <v>163</v>
      </c>
      <c r="I425" s="8">
        <v>121</v>
      </c>
      <c r="J425" s="8">
        <v>2</v>
      </c>
      <c r="K425" s="8">
        <v>39</v>
      </c>
      <c r="L425" s="8">
        <v>1</v>
      </c>
      <c r="M425" s="8">
        <v>0</v>
      </c>
      <c r="N425" s="8">
        <v>0</v>
      </c>
      <c r="O425" s="8">
        <v>38</v>
      </c>
      <c r="P425" s="8">
        <v>0</v>
      </c>
    </row>
    <row r="426" spans="1:16" x14ac:dyDescent="0.3">
      <c r="A426" s="9" t="s">
        <v>416</v>
      </c>
      <c r="B426" s="9">
        <v>45309</v>
      </c>
      <c r="C426" s="7">
        <v>2024</v>
      </c>
      <c r="D426" s="7" t="str">
        <f t="shared" si="18"/>
        <v>January</v>
      </c>
      <c r="E426" s="7" t="str">
        <f t="shared" si="19"/>
        <v>Thursday</v>
      </c>
      <c r="F426" s="10">
        <v>0.19930555555555557</v>
      </c>
      <c r="G426" s="10" t="str">
        <f t="shared" si="20"/>
        <v>4:00 AM – 5:00 AM</v>
      </c>
      <c r="H426" s="7">
        <v>152</v>
      </c>
      <c r="I426" s="7">
        <v>114</v>
      </c>
      <c r="J426" s="7">
        <v>2</v>
      </c>
      <c r="K426" s="7">
        <v>26</v>
      </c>
      <c r="L426" s="7">
        <v>1</v>
      </c>
      <c r="M426" s="7">
        <v>0</v>
      </c>
      <c r="N426" s="7">
        <v>0</v>
      </c>
      <c r="O426" s="7">
        <v>27</v>
      </c>
      <c r="P426" s="7">
        <v>1</v>
      </c>
    </row>
    <row r="427" spans="1:16" x14ac:dyDescent="0.3">
      <c r="A427" s="11" t="s">
        <v>425</v>
      </c>
      <c r="B427" s="11">
        <v>45300</v>
      </c>
      <c r="C427" s="8">
        <v>2024</v>
      </c>
      <c r="D427" s="8" t="str">
        <f t="shared" si="18"/>
        <v>January</v>
      </c>
      <c r="E427" s="8" t="str">
        <f t="shared" si="19"/>
        <v>Tuesday</v>
      </c>
      <c r="F427" s="12">
        <v>0.14583333333333334</v>
      </c>
      <c r="G427" s="12" t="str">
        <f t="shared" si="20"/>
        <v>3:00 AM – 4:00 AM</v>
      </c>
      <c r="H427" s="8">
        <v>143</v>
      </c>
      <c r="I427" s="8">
        <v>67</v>
      </c>
      <c r="J427" s="8">
        <v>2</v>
      </c>
      <c r="K427" s="8">
        <v>60</v>
      </c>
      <c r="L427" s="8">
        <v>1</v>
      </c>
      <c r="M427" s="8">
        <v>1</v>
      </c>
      <c r="N427" s="8">
        <v>0</v>
      </c>
      <c r="O427" s="8">
        <v>61</v>
      </c>
      <c r="P427" s="8">
        <v>0</v>
      </c>
    </row>
    <row r="428" spans="1:16" x14ac:dyDescent="0.3">
      <c r="A428" s="9" t="s">
        <v>426</v>
      </c>
      <c r="B428" s="9">
        <v>45299</v>
      </c>
      <c r="C428" s="7">
        <v>2024</v>
      </c>
      <c r="D428" s="7" t="str">
        <f t="shared" si="18"/>
        <v>January</v>
      </c>
      <c r="E428" s="7" t="str">
        <f t="shared" si="19"/>
        <v>Monday</v>
      </c>
      <c r="F428" s="10">
        <v>0.18958333333333333</v>
      </c>
      <c r="G428" s="10" t="str">
        <f t="shared" si="20"/>
        <v>4:00 AM – 5:00 AM</v>
      </c>
      <c r="H428" s="7">
        <v>142</v>
      </c>
      <c r="I428" s="7">
        <v>67</v>
      </c>
      <c r="J428" s="7">
        <v>2</v>
      </c>
      <c r="K428" s="7">
        <v>58</v>
      </c>
      <c r="L428" s="7">
        <v>1</v>
      </c>
      <c r="M428" s="7">
        <v>1</v>
      </c>
      <c r="N428" s="7">
        <v>0</v>
      </c>
      <c r="O428" s="7">
        <v>60</v>
      </c>
      <c r="P428" s="7">
        <v>3</v>
      </c>
    </row>
    <row r="429" spans="1:16" x14ac:dyDescent="0.3">
      <c r="A429" s="11" t="s">
        <v>432</v>
      </c>
      <c r="B429" s="11">
        <v>45293</v>
      </c>
      <c r="C429" s="8">
        <v>2024</v>
      </c>
      <c r="D429" s="8" t="str">
        <f t="shared" si="18"/>
        <v>January</v>
      </c>
      <c r="E429" s="8" t="str">
        <f t="shared" si="19"/>
        <v>Tuesday</v>
      </c>
      <c r="F429" s="12">
        <v>0.19652777777777777</v>
      </c>
      <c r="G429" s="12" t="str">
        <f t="shared" si="20"/>
        <v>4:00 AM – 5:00 AM</v>
      </c>
      <c r="H429" s="8">
        <v>136</v>
      </c>
      <c r="I429" s="8">
        <v>54</v>
      </c>
      <c r="J429" s="8">
        <v>2</v>
      </c>
      <c r="K429" s="8">
        <v>55</v>
      </c>
      <c r="L429" s="8">
        <v>1</v>
      </c>
      <c r="M429" s="8">
        <v>2</v>
      </c>
      <c r="N429" s="8">
        <v>0</v>
      </c>
      <c r="O429" s="8">
        <v>58</v>
      </c>
      <c r="P429" s="8">
        <v>2</v>
      </c>
    </row>
    <row r="430" spans="1:16" x14ac:dyDescent="0.3">
      <c r="A430" s="9" t="s">
        <v>436</v>
      </c>
      <c r="B430" s="9">
        <v>45290</v>
      </c>
      <c r="C430" s="7">
        <v>2023</v>
      </c>
      <c r="D430" s="7" t="str">
        <f t="shared" si="18"/>
        <v>December</v>
      </c>
      <c r="E430" s="7" t="str">
        <f t="shared" si="19"/>
        <v>Saturday</v>
      </c>
      <c r="F430" s="10">
        <v>0.1701388888888889</v>
      </c>
      <c r="G430" s="10" t="str">
        <f t="shared" si="20"/>
        <v>4:00 AM – 5:00 AM</v>
      </c>
      <c r="H430" s="7">
        <v>131</v>
      </c>
      <c r="I430" s="7">
        <v>48</v>
      </c>
      <c r="J430" s="7">
        <v>2</v>
      </c>
      <c r="K430" s="7">
        <v>43</v>
      </c>
      <c r="L430" s="7">
        <v>1</v>
      </c>
      <c r="M430" s="7">
        <v>0</v>
      </c>
      <c r="N430" s="7">
        <v>1</v>
      </c>
      <c r="O430" s="7">
        <v>43</v>
      </c>
      <c r="P430" s="7">
        <v>0</v>
      </c>
    </row>
    <row r="431" spans="1:16" x14ac:dyDescent="0.3">
      <c r="A431" s="11" t="s">
        <v>438</v>
      </c>
      <c r="B431" s="11">
        <v>45288</v>
      </c>
      <c r="C431" s="8">
        <v>2023</v>
      </c>
      <c r="D431" s="8" t="str">
        <f t="shared" si="18"/>
        <v>December</v>
      </c>
      <c r="E431" s="8" t="str">
        <f t="shared" si="19"/>
        <v>Thursday</v>
      </c>
      <c r="F431" s="12">
        <v>0.2326388888888889</v>
      </c>
      <c r="G431" s="12" t="str">
        <f t="shared" si="20"/>
        <v>5:00 AM – 6:00 AM</v>
      </c>
      <c r="H431" s="8">
        <v>129</v>
      </c>
      <c r="I431" s="8">
        <v>45</v>
      </c>
      <c r="J431" s="8">
        <v>2</v>
      </c>
      <c r="K431" s="8">
        <v>39</v>
      </c>
      <c r="L431" s="8">
        <v>1</v>
      </c>
      <c r="M431" s="8">
        <v>0</v>
      </c>
      <c r="N431" s="8">
        <v>0</v>
      </c>
      <c r="O431" s="8">
        <v>40</v>
      </c>
      <c r="P431" s="8">
        <v>3</v>
      </c>
    </row>
    <row r="432" spans="1:16" x14ac:dyDescent="0.3">
      <c r="A432" s="9" t="s">
        <v>441</v>
      </c>
      <c r="B432" s="9">
        <v>45285</v>
      </c>
      <c r="C432" s="7">
        <v>2023</v>
      </c>
      <c r="D432" s="7" t="str">
        <f t="shared" si="18"/>
        <v>December</v>
      </c>
      <c r="E432" s="7" t="str">
        <f t="shared" si="19"/>
        <v>Monday</v>
      </c>
      <c r="F432" s="10">
        <v>0.20555555555555555</v>
      </c>
      <c r="G432" s="10" t="str">
        <f t="shared" si="20"/>
        <v>4:00 AM – 5:00 AM</v>
      </c>
      <c r="H432" s="7">
        <v>126</v>
      </c>
      <c r="I432" s="7">
        <v>35</v>
      </c>
      <c r="J432" s="7">
        <v>2</v>
      </c>
      <c r="K432" s="7">
        <v>46</v>
      </c>
      <c r="L432" s="7">
        <v>1</v>
      </c>
      <c r="M432" s="7">
        <v>0</v>
      </c>
      <c r="N432" s="7">
        <v>0</v>
      </c>
      <c r="O432" s="7">
        <v>48</v>
      </c>
      <c r="P432" s="7">
        <v>0</v>
      </c>
    </row>
    <row r="433" spans="1:16" x14ac:dyDescent="0.3">
      <c r="A433" s="11" t="s">
        <v>444</v>
      </c>
      <c r="B433" s="11">
        <v>45282</v>
      </c>
      <c r="C433" s="8">
        <v>2023</v>
      </c>
      <c r="D433" s="8" t="str">
        <f t="shared" si="18"/>
        <v>December</v>
      </c>
      <c r="E433" s="8" t="str">
        <f t="shared" si="19"/>
        <v>Friday</v>
      </c>
      <c r="F433" s="12">
        <v>0.12013888888888889</v>
      </c>
      <c r="G433" s="12" t="str">
        <f t="shared" si="20"/>
        <v>2:00 AM – 3:00 AM</v>
      </c>
      <c r="H433" s="8">
        <v>123</v>
      </c>
      <c r="I433" s="8">
        <v>32</v>
      </c>
      <c r="J433" s="8">
        <v>2</v>
      </c>
      <c r="K433" s="8">
        <v>50</v>
      </c>
      <c r="L433" s="8">
        <v>1</v>
      </c>
      <c r="M433" s="8">
        <v>0</v>
      </c>
      <c r="N433" s="8">
        <v>0</v>
      </c>
      <c r="O433" s="8">
        <v>50</v>
      </c>
      <c r="P433" s="8">
        <v>2</v>
      </c>
    </row>
    <row r="434" spans="1:16" x14ac:dyDescent="0.3">
      <c r="A434" s="9" t="s">
        <v>445</v>
      </c>
      <c r="B434" s="9">
        <v>45281</v>
      </c>
      <c r="C434" s="7">
        <v>2023</v>
      </c>
      <c r="D434" s="7" t="str">
        <f t="shared" si="18"/>
        <v>December</v>
      </c>
      <c r="E434" s="7" t="str">
        <f t="shared" si="19"/>
        <v>Thursday</v>
      </c>
      <c r="F434" s="10">
        <v>0.21249999999999999</v>
      </c>
      <c r="G434" s="10" t="str">
        <f t="shared" si="20"/>
        <v>5:00 AM – 6:00 AM</v>
      </c>
      <c r="H434" s="7">
        <v>122</v>
      </c>
      <c r="I434" s="7">
        <v>30</v>
      </c>
      <c r="J434" s="7">
        <v>2</v>
      </c>
      <c r="K434" s="7">
        <v>39</v>
      </c>
      <c r="L434" s="7">
        <v>1</v>
      </c>
      <c r="M434" s="7">
        <v>0</v>
      </c>
      <c r="N434" s="7">
        <v>0</v>
      </c>
      <c r="O434" s="7">
        <v>36</v>
      </c>
      <c r="P434" s="7">
        <v>0</v>
      </c>
    </row>
    <row r="435" spans="1:16" x14ac:dyDescent="0.3">
      <c r="A435" s="11" t="s">
        <v>473</v>
      </c>
      <c r="B435" s="11">
        <v>45253</v>
      </c>
      <c r="C435" s="8">
        <v>2023</v>
      </c>
      <c r="D435" s="8" t="str">
        <f t="shared" si="18"/>
        <v>November</v>
      </c>
      <c r="E435" s="8" t="str">
        <f t="shared" si="19"/>
        <v>Thursday</v>
      </c>
      <c r="F435" s="12">
        <v>0.13055555555555556</v>
      </c>
      <c r="G435" s="12" t="str">
        <f t="shared" si="20"/>
        <v>3:00 AM – 4:00 AM</v>
      </c>
      <c r="H435" s="8">
        <v>93</v>
      </c>
      <c r="I435" s="8">
        <v>29</v>
      </c>
      <c r="J435" s="8">
        <v>2</v>
      </c>
      <c r="K435" s="8">
        <v>14</v>
      </c>
      <c r="L435" s="8">
        <v>0</v>
      </c>
      <c r="M435" s="8">
        <v>0</v>
      </c>
      <c r="N435" s="8">
        <v>0</v>
      </c>
      <c r="O435" s="8">
        <v>13</v>
      </c>
      <c r="P435" s="8">
        <v>2</v>
      </c>
    </row>
    <row r="436" spans="1:16" x14ac:dyDescent="0.3">
      <c r="A436" s="9" t="s">
        <v>482</v>
      </c>
      <c r="B436" s="9">
        <v>45244</v>
      </c>
      <c r="C436" s="7">
        <v>2023</v>
      </c>
      <c r="D436" s="7" t="str">
        <f t="shared" si="18"/>
        <v>November</v>
      </c>
      <c r="E436" s="7" t="str">
        <f t="shared" si="19"/>
        <v>Tuesday</v>
      </c>
      <c r="F436" s="10">
        <v>0.11527777777777778</v>
      </c>
      <c r="G436" s="10" t="str">
        <f t="shared" si="20"/>
        <v>2:00 AM – 3:00 AM</v>
      </c>
      <c r="H436" s="7">
        <v>84</v>
      </c>
      <c r="I436" s="7">
        <v>25</v>
      </c>
      <c r="J436" s="7">
        <v>2</v>
      </c>
      <c r="K436" s="7">
        <v>14</v>
      </c>
      <c r="L436" s="7">
        <v>0</v>
      </c>
      <c r="M436" s="7">
        <v>0</v>
      </c>
      <c r="N436" s="7">
        <v>0</v>
      </c>
      <c r="O436" s="7">
        <v>14</v>
      </c>
      <c r="P436" s="7">
        <v>0</v>
      </c>
    </row>
    <row r="437" spans="1:16" x14ac:dyDescent="0.3">
      <c r="A437" s="11" t="s">
        <v>21</v>
      </c>
      <c r="B437" s="11">
        <v>45703</v>
      </c>
      <c r="C437" s="8">
        <v>2025</v>
      </c>
      <c r="D437" s="8" t="str">
        <f t="shared" si="18"/>
        <v>February</v>
      </c>
      <c r="E437" s="8" t="str">
        <f t="shared" si="19"/>
        <v>Saturday</v>
      </c>
      <c r="F437" s="12">
        <v>0.23125000000000001</v>
      </c>
      <c r="G437" s="12" t="str">
        <f t="shared" si="20"/>
        <v>5:00 AM – 6:00 AM</v>
      </c>
      <c r="H437" s="8">
        <v>547</v>
      </c>
      <c r="I437" s="8">
        <v>1290</v>
      </c>
      <c r="J437" s="8">
        <v>1</v>
      </c>
      <c r="K437" s="8">
        <v>55</v>
      </c>
      <c r="L437" s="8">
        <v>2</v>
      </c>
      <c r="M437" s="8">
        <v>22</v>
      </c>
      <c r="N437" s="8">
        <v>1</v>
      </c>
      <c r="O437" s="8">
        <v>54</v>
      </c>
      <c r="P437" s="8">
        <v>-1</v>
      </c>
    </row>
    <row r="438" spans="1:16" x14ac:dyDescent="0.3">
      <c r="A438" s="9" t="s">
        <v>22</v>
      </c>
      <c r="B438" s="9">
        <v>45702</v>
      </c>
      <c r="C438" s="7">
        <v>2025</v>
      </c>
      <c r="D438" s="7" t="str">
        <f t="shared" si="18"/>
        <v>February</v>
      </c>
      <c r="E438" s="7" t="str">
        <f t="shared" si="19"/>
        <v>Friday</v>
      </c>
      <c r="F438" s="10">
        <v>0.8256944444444444</v>
      </c>
      <c r="G438" s="10" t="str">
        <f t="shared" si="20"/>
        <v>7:00 PM – 8:00 PM</v>
      </c>
      <c r="H438" s="7">
        <v>546</v>
      </c>
      <c r="I438" s="7">
        <v>1291</v>
      </c>
      <c r="J438" s="7">
        <v>1</v>
      </c>
      <c r="K438" s="7">
        <v>99</v>
      </c>
      <c r="L438" s="7">
        <v>1</v>
      </c>
      <c r="M438" s="7">
        <v>0</v>
      </c>
      <c r="N438" s="7">
        <v>0</v>
      </c>
      <c r="O438" s="7">
        <v>101</v>
      </c>
      <c r="P438" s="7">
        <v>-2</v>
      </c>
    </row>
    <row r="439" spans="1:16" x14ac:dyDescent="0.3">
      <c r="A439" s="11" t="s">
        <v>217</v>
      </c>
      <c r="B439" s="11">
        <v>45507</v>
      </c>
      <c r="C439" s="8">
        <v>2024</v>
      </c>
      <c r="D439" s="8" t="str">
        <f t="shared" si="18"/>
        <v>August</v>
      </c>
      <c r="E439" s="8" t="str">
        <f t="shared" si="19"/>
        <v>Saturday</v>
      </c>
      <c r="F439" s="12">
        <v>0.28819444444444442</v>
      </c>
      <c r="G439" s="12" t="str">
        <f t="shared" si="20"/>
        <v>6:00 AM – 7:00 AM</v>
      </c>
      <c r="H439" s="8">
        <v>351</v>
      </c>
      <c r="I439" s="8">
        <v>565</v>
      </c>
      <c r="J439" s="8">
        <v>1</v>
      </c>
      <c r="K439" s="8">
        <v>34</v>
      </c>
      <c r="L439" s="8">
        <v>2</v>
      </c>
      <c r="M439" s="8">
        <v>0</v>
      </c>
      <c r="N439" s="8">
        <v>0</v>
      </c>
      <c r="O439" s="8">
        <v>34</v>
      </c>
      <c r="P439" s="8">
        <v>0</v>
      </c>
    </row>
    <row r="440" spans="1:16" x14ac:dyDescent="0.3">
      <c r="A440" s="9" t="s">
        <v>223</v>
      </c>
      <c r="B440" s="9">
        <v>45501</v>
      </c>
      <c r="C440" s="7">
        <v>2024</v>
      </c>
      <c r="D440" s="7" t="str">
        <f t="shared" si="18"/>
        <v>July</v>
      </c>
      <c r="E440" s="7" t="str">
        <f t="shared" si="19"/>
        <v>Sunday</v>
      </c>
      <c r="F440" s="10">
        <v>0.28402777777777777</v>
      </c>
      <c r="G440" s="10" t="str">
        <f t="shared" si="20"/>
        <v>6:00 AM – 7:00 AM</v>
      </c>
      <c r="H440" s="7">
        <v>345</v>
      </c>
      <c r="I440" s="7">
        <v>567</v>
      </c>
      <c r="J440" s="7">
        <v>1</v>
      </c>
      <c r="K440" s="7">
        <v>35</v>
      </c>
      <c r="L440" s="7">
        <v>1</v>
      </c>
      <c r="M440" s="7">
        <v>0</v>
      </c>
      <c r="N440" s="7">
        <v>0</v>
      </c>
      <c r="O440" s="7">
        <v>39</v>
      </c>
      <c r="P440" s="7">
        <v>0</v>
      </c>
    </row>
    <row r="441" spans="1:16" x14ac:dyDescent="0.3">
      <c r="A441" s="11" t="s">
        <v>225</v>
      </c>
      <c r="B441" s="11">
        <v>45499</v>
      </c>
      <c r="C441" s="8">
        <v>2024</v>
      </c>
      <c r="D441" s="8" t="str">
        <f t="shared" si="18"/>
        <v>July</v>
      </c>
      <c r="E441" s="8" t="str">
        <f t="shared" si="19"/>
        <v>Friday</v>
      </c>
      <c r="F441" s="12">
        <v>0.35138888888888886</v>
      </c>
      <c r="G441" s="12" t="str">
        <f t="shared" si="20"/>
        <v>8:00 AM – 9:00 AM</v>
      </c>
      <c r="H441" s="8">
        <v>343</v>
      </c>
      <c r="I441" s="8">
        <v>568</v>
      </c>
      <c r="J441" s="8">
        <v>1</v>
      </c>
      <c r="K441" s="8">
        <v>46</v>
      </c>
      <c r="L441" s="8">
        <v>1</v>
      </c>
      <c r="M441" s="8">
        <v>0</v>
      </c>
      <c r="N441" s="8">
        <v>2</v>
      </c>
      <c r="O441" s="8">
        <v>50</v>
      </c>
      <c r="P441" s="8">
        <v>0</v>
      </c>
    </row>
    <row r="442" spans="1:16" x14ac:dyDescent="0.3">
      <c r="A442" s="9" t="s">
        <v>373</v>
      </c>
      <c r="B442" s="9">
        <v>45352</v>
      </c>
      <c r="C442" s="7">
        <v>2024</v>
      </c>
      <c r="D442" s="7" t="str">
        <f t="shared" si="18"/>
        <v>March</v>
      </c>
      <c r="E442" s="7" t="str">
        <f t="shared" si="19"/>
        <v>Friday</v>
      </c>
      <c r="F442" s="10">
        <v>0.2076388888888889</v>
      </c>
      <c r="G442" s="10" t="str">
        <f t="shared" si="20"/>
        <v>4:00 AM – 5:00 AM</v>
      </c>
      <c r="H442" s="7">
        <v>195</v>
      </c>
      <c r="I442" s="7">
        <v>131</v>
      </c>
      <c r="J442" s="7">
        <v>1</v>
      </c>
      <c r="K442" s="7">
        <v>81</v>
      </c>
      <c r="L442" s="7">
        <v>1</v>
      </c>
      <c r="M442" s="7">
        <v>0</v>
      </c>
      <c r="N442" s="7">
        <v>0</v>
      </c>
      <c r="O442" s="7">
        <v>78</v>
      </c>
      <c r="P442" s="7">
        <v>0</v>
      </c>
    </row>
    <row r="443" spans="1:16" x14ac:dyDescent="0.3">
      <c r="A443" s="11" t="s">
        <v>381</v>
      </c>
      <c r="B443" s="11">
        <v>45344</v>
      </c>
      <c r="C443" s="8">
        <v>2024</v>
      </c>
      <c r="D443" s="8" t="str">
        <f t="shared" si="18"/>
        <v>February</v>
      </c>
      <c r="E443" s="8" t="str">
        <f t="shared" si="19"/>
        <v>Thursday</v>
      </c>
      <c r="F443" s="12">
        <v>0.18819444444444444</v>
      </c>
      <c r="G443" s="12" t="str">
        <f t="shared" si="20"/>
        <v>4:00 AM – 5:00 AM</v>
      </c>
      <c r="H443" s="8">
        <v>187</v>
      </c>
      <c r="I443" s="8">
        <v>125</v>
      </c>
      <c r="J443" s="8">
        <v>1</v>
      </c>
      <c r="K443" s="8">
        <v>55</v>
      </c>
      <c r="L443" s="8">
        <v>2</v>
      </c>
      <c r="M443" s="8">
        <v>0</v>
      </c>
      <c r="N443" s="8">
        <v>0</v>
      </c>
      <c r="O443" s="8">
        <v>57</v>
      </c>
      <c r="P443" s="8">
        <v>1</v>
      </c>
    </row>
    <row r="444" spans="1:16" x14ac:dyDescent="0.3">
      <c r="A444" s="9" t="s">
        <v>412</v>
      </c>
      <c r="B444" s="9">
        <v>45313</v>
      </c>
      <c r="C444" s="7">
        <v>2024</v>
      </c>
      <c r="D444" s="7" t="str">
        <f t="shared" si="18"/>
        <v>January</v>
      </c>
      <c r="E444" s="7" t="str">
        <f t="shared" si="19"/>
        <v>Monday</v>
      </c>
      <c r="F444" s="10">
        <v>0.22500000000000001</v>
      </c>
      <c r="G444" s="10" t="str">
        <f t="shared" si="20"/>
        <v>5:00 AM – 6:00 AM</v>
      </c>
      <c r="H444" s="7">
        <v>156</v>
      </c>
      <c r="I444" s="7">
        <v>115</v>
      </c>
      <c r="J444" s="7">
        <v>1</v>
      </c>
      <c r="K444" s="7">
        <v>33</v>
      </c>
      <c r="L444" s="7">
        <v>1</v>
      </c>
      <c r="M444" s="7">
        <v>0</v>
      </c>
      <c r="N444" s="7">
        <v>0</v>
      </c>
      <c r="O444" s="7">
        <v>31</v>
      </c>
      <c r="P444" s="7">
        <v>0</v>
      </c>
    </row>
    <row r="445" spans="1:16" x14ac:dyDescent="0.3">
      <c r="A445" s="11" t="s">
        <v>415</v>
      </c>
      <c r="B445" s="11">
        <v>45310</v>
      </c>
      <c r="C445" s="8">
        <v>2024</v>
      </c>
      <c r="D445" s="8" t="str">
        <f t="shared" si="18"/>
        <v>January</v>
      </c>
      <c r="E445" s="8" t="str">
        <f t="shared" si="19"/>
        <v>Friday</v>
      </c>
      <c r="F445" s="12">
        <v>0.15833333333333333</v>
      </c>
      <c r="G445" s="12" t="str">
        <f t="shared" si="20"/>
        <v>3:00 AM – 4:00 AM</v>
      </c>
      <c r="H445" s="8">
        <v>153</v>
      </c>
      <c r="I445" s="8">
        <v>115</v>
      </c>
      <c r="J445" s="8">
        <v>1</v>
      </c>
      <c r="K445" s="8">
        <v>26</v>
      </c>
      <c r="L445" s="8">
        <v>1</v>
      </c>
      <c r="M445" s="8">
        <v>0</v>
      </c>
      <c r="N445" s="8">
        <v>0</v>
      </c>
      <c r="O445" s="8">
        <v>25</v>
      </c>
      <c r="P445" s="8">
        <v>1</v>
      </c>
    </row>
    <row r="446" spans="1:16" x14ac:dyDescent="0.3">
      <c r="A446" s="9" t="s">
        <v>437</v>
      </c>
      <c r="B446" s="9">
        <v>45289</v>
      </c>
      <c r="C446" s="7">
        <v>2023</v>
      </c>
      <c r="D446" s="7" t="str">
        <f t="shared" si="18"/>
        <v>December</v>
      </c>
      <c r="E446" s="7" t="str">
        <f t="shared" si="19"/>
        <v>Friday</v>
      </c>
      <c r="F446" s="10">
        <v>0.17430555555555555</v>
      </c>
      <c r="G446" s="10" t="str">
        <f t="shared" si="20"/>
        <v>4:00 AM – 5:00 AM</v>
      </c>
      <c r="H446" s="7">
        <v>130</v>
      </c>
      <c r="I446" s="7">
        <v>47</v>
      </c>
      <c r="J446" s="7">
        <v>1</v>
      </c>
      <c r="K446" s="7">
        <v>38</v>
      </c>
      <c r="L446" s="7">
        <v>1</v>
      </c>
      <c r="M446" s="7">
        <v>0</v>
      </c>
      <c r="N446" s="7">
        <v>1</v>
      </c>
      <c r="O446" s="7">
        <v>37</v>
      </c>
      <c r="P446" s="7">
        <v>2</v>
      </c>
    </row>
    <row r="447" spans="1:16" x14ac:dyDescent="0.3">
      <c r="A447" s="11" t="s">
        <v>440</v>
      </c>
      <c r="B447" s="11">
        <v>45286</v>
      </c>
      <c r="C447" s="8">
        <v>2023</v>
      </c>
      <c r="D447" s="8" t="str">
        <f t="shared" si="18"/>
        <v>December</v>
      </c>
      <c r="E447" s="8" t="str">
        <f t="shared" si="19"/>
        <v>Tuesday</v>
      </c>
      <c r="F447" s="12">
        <v>0.20069444444444445</v>
      </c>
      <c r="G447" s="12" t="str">
        <f t="shared" si="20"/>
        <v>4:00 AM – 5:00 AM</v>
      </c>
      <c r="H447" s="8">
        <v>127</v>
      </c>
      <c r="I447" s="8">
        <v>39</v>
      </c>
      <c r="J447" s="8">
        <v>1</v>
      </c>
      <c r="K447" s="8">
        <v>44</v>
      </c>
      <c r="L447" s="8">
        <v>1</v>
      </c>
      <c r="M447" s="8">
        <v>0</v>
      </c>
      <c r="N447" s="8">
        <v>0</v>
      </c>
      <c r="O447" s="8">
        <v>45</v>
      </c>
      <c r="P447" s="8">
        <v>4</v>
      </c>
    </row>
    <row r="448" spans="1:16" x14ac:dyDescent="0.3">
      <c r="A448" s="9" t="s">
        <v>443</v>
      </c>
      <c r="B448" s="9">
        <v>45283</v>
      </c>
      <c r="C448" s="7">
        <v>2023</v>
      </c>
      <c r="D448" s="7" t="str">
        <f t="shared" si="18"/>
        <v>December</v>
      </c>
      <c r="E448" s="7" t="str">
        <f t="shared" si="19"/>
        <v>Saturday</v>
      </c>
      <c r="F448" s="10">
        <v>0.16944444444444445</v>
      </c>
      <c r="G448" s="10" t="str">
        <f t="shared" si="20"/>
        <v>4:00 AM – 5:00 AM</v>
      </c>
      <c r="H448" s="7">
        <v>124</v>
      </c>
      <c r="I448" s="7">
        <v>33</v>
      </c>
      <c r="J448" s="7">
        <v>1</v>
      </c>
      <c r="K448" s="7">
        <v>45</v>
      </c>
      <c r="L448" s="7">
        <v>1</v>
      </c>
      <c r="M448" s="7">
        <v>0</v>
      </c>
      <c r="N448" s="7">
        <v>0</v>
      </c>
      <c r="O448" s="7">
        <v>46</v>
      </c>
      <c r="P448" s="7">
        <v>1</v>
      </c>
    </row>
    <row r="449" spans="1:16" x14ac:dyDescent="0.3">
      <c r="A449" s="11" t="s">
        <v>450</v>
      </c>
      <c r="B449" s="11">
        <v>45276</v>
      </c>
      <c r="C449" s="8">
        <v>2023</v>
      </c>
      <c r="D449" s="8" t="str">
        <f t="shared" si="18"/>
        <v>December</v>
      </c>
      <c r="E449" s="8" t="str">
        <f t="shared" si="19"/>
        <v>Saturday</v>
      </c>
      <c r="F449" s="12">
        <v>0.11944444444444445</v>
      </c>
      <c r="G449" s="12" t="str">
        <f t="shared" si="20"/>
        <v>2:00 AM – 3:00 AM</v>
      </c>
      <c r="H449" s="8">
        <v>117</v>
      </c>
      <c r="I449" s="8">
        <v>31</v>
      </c>
      <c r="J449" s="8">
        <v>1</v>
      </c>
      <c r="K449" s="8">
        <v>27</v>
      </c>
      <c r="L449" s="8">
        <v>1</v>
      </c>
      <c r="M449" s="8">
        <v>0</v>
      </c>
      <c r="N449" s="8">
        <v>0</v>
      </c>
      <c r="O449" s="8">
        <v>26</v>
      </c>
      <c r="P449" s="8">
        <v>0</v>
      </c>
    </row>
    <row r="450" spans="1:16" x14ac:dyDescent="0.3">
      <c r="A450" s="9" t="s">
        <v>453</v>
      </c>
      <c r="B450" s="9">
        <v>45273</v>
      </c>
      <c r="C450" s="7">
        <v>2023</v>
      </c>
      <c r="D450" s="7" t="str">
        <f t="shared" ref="D450:D475" si="21">TEXT(B450,"MMMM")</f>
        <v>December</v>
      </c>
      <c r="E450" s="7" t="str">
        <f t="shared" ref="E450:E475" si="22">TEXT(B450,"dddd")</f>
        <v>Wednesday</v>
      </c>
      <c r="F450" s="10">
        <v>0.31319444444444444</v>
      </c>
      <c r="G450" s="10" t="str">
        <f t="shared" ref="G450:G475" si="23">TEXT(FLOOR(F450,"1:00"),"h:mm AM/PM") &amp; " – " &amp; TEXT(FLOOR(F450,"1:00") + TIME(1,0,0),"h:mm AM/PM")</f>
        <v>7:00 AM – 8:00 AM</v>
      </c>
      <c r="H450" s="7">
        <v>113</v>
      </c>
      <c r="I450" s="7">
        <v>29</v>
      </c>
      <c r="J450" s="7">
        <v>1</v>
      </c>
      <c r="K450" s="7">
        <v>37</v>
      </c>
      <c r="L450" s="7">
        <v>1</v>
      </c>
      <c r="M450" s="7">
        <v>0</v>
      </c>
      <c r="N450" s="7">
        <v>0</v>
      </c>
      <c r="O450" s="7">
        <v>37</v>
      </c>
      <c r="P450" s="7">
        <v>0</v>
      </c>
    </row>
    <row r="451" spans="1:16" x14ac:dyDescent="0.3">
      <c r="A451" s="11" t="s">
        <v>454</v>
      </c>
      <c r="B451" s="11">
        <v>45272</v>
      </c>
      <c r="C451" s="8">
        <v>2023</v>
      </c>
      <c r="D451" s="8" t="str">
        <f t="shared" si="21"/>
        <v>December</v>
      </c>
      <c r="E451" s="8" t="str">
        <f t="shared" si="22"/>
        <v>Tuesday</v>
      </c>
      <c r="F451" s="12">
        <v>0.19583333333333333</v>
      </c>
      <c r="G451" s="12" t="str">
        <f t="shared" si="23"/>
        <v>4:00 AM – 5:00 AM</v>
      </c>
      <c r="H451" s="8">
        <v>112</v>
      </c>
      <c r="I451" s="8">
        <v>29</v>
      </c>
      <c r="J451" s="8">
        <v>1</v>
      </c>
      <c r="K451" s="8">
        <v>33</v>
      </c>
      <c r="L451" s="8">
        <v>1</v>
      </c>
      <c r="M451" s="8">
        <v>0</v>
      </c>
      <c r="N451" s="8">
        <v>0</v>
      </c>
      <c r="O451" s="8">
        <v>32</v>
      </c>
      <c r="P451" s="8">
        <v>0</v>
      </c>
    </row>
    <row r="452" spans="1:16" x14ac:dyDescent="0.3">
      <c r="A452" s="9" t="s">
        <v>456</v>
      </c>
      <c r="B452" s="9">
        <v>45270</v>
      </c>
      <c r="C452" s="7">
        <v>2023</v>
      </c>
      <c r="D452" s="7" t="str">
        <f t="shared" si="21"/>
        <v>December</v>
      </c>
      <c r="E452" s="7" t="str">
        <f t="shared" si="22"/>
        <v>Sunday</v>
      </c>
      <c r="F452" s="10">
        <v>0.26180555555555557</v>
      </c>
      <c r="G452" s="10" t="str">
        <f t="shared" si="23"/>
        <v>6:00 AM – 7:00 AM</v>
      </c>
      <c r="H452" s="7">
        <v>110</v>
      </c>
      <c r="I452" s="7">
        <v>29</v>
      </c>
      <c r="J452" s="7">
        <v>1</v>
      </c>
      <c r="K452" s="7">
        <v>34</v>
      </c>
      <c r="L452" s="7">
        <v>1</v>
      </c>
      <c r="M452" s="7">
        <v>0</v>
      </c>
      <c r="N452" s="7">
        <v>1</v>
      </c>
      <c r="O452" s="7">
        <v>35</v>
      </c>
      <c r="P452" s="7">
        <v>0</v>
      </c>
    </row>
    <row r="453" spans="1:16" x14ac:dyDescent="0.3">
      <c r="A453" s="11" t="s">
        <v>470</v>
      </c>
      <c r="B453" s="11">
        <v>45256</v>
      </c>
      <c r="C453" s="8">
        <v>2023</v>
      </c>
      <c r="D453" s="8" t="str">
        <f t="shared" si="21"/>
        <v>November</v>
      </c>
      <c r="E453" s="8" t="str">
        <f t="shared" si="22"/>
        <v>Sunday</v>
      </c>
      <c r="F453" s="12">
        <v>0.26666666666666666</v>
      </c>
      <c r="G453" s="12" t="str">
        <f t="shared" si="23"/>
        <v>6:00 AM – 7:00 AM</v>
      </c>
      <c r="H453" s="8">
        <v>96</v>
      </c>
      <c r="I453" s="8">
        <v>29</v>
      </c>
      <c r="J453" s="8">
        <v>1</v>
      </c>
      <c r="K453" s="8">
        <v>16</v>
      </c>
      <c r="L453" s="8">
        <v>0</v>
      </c>
      <c r="M453" s="8">
        <v>0</v>
      </c>
      <c r="N453" s="8">
        <v>0</v>
      </c>
      <c r="O453" s="8">
        <v>16</v>
      </c>
      <c r="P453" s="8">
        <v>0</v>
      </c>
    </row>
    <row r="454" spans="1:16" x14ac:dyDescent="0.3">
      <c r="A454" s="9" t="s">
        <v>471</v>
      </c>
      <c r="B454" s="9">
        <v>45255</v>
      </c>
      <c r="C454" s="7">
        <v>2023</v>
      </c>
      <c r="D454" s="7" t="str">
        <f t="shared" si="21"/>
        <v>November</v>
      </c>
      <c r="E454" s="7" t="str">
        <f t="shared" si="22"/>
        <v>Saturday</v>
      </c>
      <c r="F454" s="10">
        <v>0.10347222222222222</v>
      </c>
      <c r="G454" s="10" t="str">
        <f t="shared" si="23"/>
        <v>2:00 AM – 3:00 AM</v>
      </c>
      <c r="H454" s="7">
        <v>95</v>
      </c>
      <c r="I454" s="7">
        <v>29</v>
      </c>
      <c r="J454" s="7">
        <v>1</v>
      </c>
      <c r="K454" s="7">
        <v>14</v>
      </c>
      <c r="L454" s="7">
        <v>0</v>
      </c>
      <c r="M454" s="7">
        <v>0</v>
      </c>
      <c r="N454" s="7">
        <v>1</v>
      </c>
      <c r="O454" s="7">
        <v>14</v>
      </c>
      <c r="P454" s="7">
        <v>0</v>
      </c>
    </row>
    <row r="455" spans="1:16" x14ac:dyDescent="0.3">
      <c r="A455" s="11" t="s">
        <v>472</v>
      </c>
      <c r="B455" s="11">
        <v>45254</v>
      </c>
      <c r="C455" s="8">
        <v>2023</v>
      </c>
      <c r="D455" s="8" t="str">
        <f t="shared" si="21"/>
        <v>November</v>
      </c>
      <c r="E455" s="8" t="str">
        <f t="shared" si="22"/>
        <v>Friday</v>
      </c>
      <c r="F455" s="12">
        <v>9.7916666666666666E-2</v>
      </c>
      <c r="G455" s="12" t="str">
        <f t="shared" si="23"/>
        <v>2:00 AM – 3:00 AM</v>
      </c>
      <c r="H455" s="8">
        <v>94</v>
      </c>
      <c r="I455" s="8">
        <v>29</v>
      </c>
      <c r="J455" s="8">
        <v>1</v>
      </c>
      <c r="K455" s="8">
        <v>27</v>
      </c>
      <c r="L455" s="8">
        <v>0</v>
      </c>
      <c r="M455" s="8">
        <v>1</v>
      </c>
      <c r="N455" s="8">
        <v>0</v>
      </c>
      <c r="O455" s="8">
        <v>36</v>
      </c>
      <c r="P455" s="8">
        <v>0</v>
      </c>
    </row>
    <row r="456" spans="1:16" x14ac:dyDescent="0.3">
      <c r="A456" s="9" t="s">
        <v>476</v>
      </c>
      <c r="B456" s="9">
        <v>45250</v>
      </c>
      <c r="C456" s="7">
        <v>2023</v>
      </c>
      <c r="D456" s="7" t="str">
        <f t="shared" si="21"/>
        <v>November</v>
      </c>
      <c r="E456" s="7" t="str">
        <f t="shared" si="22"/>
        <v>Monday</v>
      </c>
      <c r="F456" s="10">
        <v>0.11388888888888889</v>
      </c>
      <c r="G456" s="10" t="str">
        <f t="shared" si="23"/>
        <v>2:00 AM – 3:00 AM</v>
      </c>
      <c r="H456" s="7">
        <v>90</v>
      </c>
      <c r="I456" s="7">
        <v>26</v>
      </c>
      <c r="J456" s="7">
        <v>1</v>
      </c>
      <c r="K456" s="7">
        <v>19</v>
      </c>
      <c r="L456" s="7">
        <v>0</v>
      </c>
      <c r="M456" s="7">
        <v>1</v>
      </c>
      <c r="N456" s="7">
        <v>0</v>
      </c>
      <c r="O456" s="7">
        <v>18</v>
      </c>
      <c r="P456" s="7">
        <v>-1</v>
      </c>
    </row>
    <row r="457" spans="1:16" x14ac:dyDescent="0.3">
      <c r="A457" s="11" t="s">
        <v>478</v>
      </c>
      <c r="B457" s="11">
        <v>45248</v>
      </c>
      <c r="C457" s="8">
        <v>2023</v>
      </c>
      <c r="D457" s="8" t="str">
        <f t="shared" si="21"/>
        <v>November</v>
      </c>
      <c r="E457" s="8" t="str">
        <f t="shared" si="22"/>
        <v>Saturday</v>
      </c>
      <c r="F457" s="12">
        <v>0.10694444444444444</v>
      </c>
      <c r="G457" s="12" t="str">
        <f t="shared" si="23"/>
        <v>2:00 AM – 3:00 AM</v>
      </c>
      <c r="H457" s="8">
        <v>88</v>
      </c>
      <c r="I457" s="8">
        <v>27</v>
      </c>
      <c r="J457" s="8">
        <v>1</v>
      </c>
      <c r="K457" s="8">
        <v>15</v>
      </c>
      <c r="L457" s="8">
        <v>0</v>
      </c>
      <c r="M457" s="8">
        <v>0</v>
      </c>
      <c r="N457" s="8">
        <v>1</v>
      </c>
      <c r="O457" s="8">
        <v>16</v>
      </c>
      <c r="P457" s="8">
        <v>0</v>
      </c>
    </row>
    <row r="458" spans="1:16" x14ac:dyDescent="0.3">
      <c r="A458" s="9" t="s">
        <v>11</v>
      </c>
      <c r="B458" s="9">
        <v>45714</v>
      </c>
      <c r="C458" s="7">
        <v>2025</v>
      </c>
      <c r="D458" s="7" t="str">
        <f t="shared" si="21"/>
        <v>February</v>
      </c>
      <c r="E458" s="7" t="str">
        <f t="shared" si="22"/>
        <v>Wednesday</v>
      </c>
      <c r="F458" s="10">
        <v>0.89930555555555558</v>
      </c>
      <c r="G458" s="10" t="str">
        <f t="shared" si="23"/>
        <v>9:00 PM – 10:00 PM</v>
      </c>
      <c r="H458" s="7">
        <v>557</v>
      </c>
      <c r="I458" s="7">
        <v>1286</v>
      </c>
      <c r="J458" s="7">
        <v>0</v>
      </c>
      <c r="K458" s="7">
        <v>4</v>
      </c>
      <c r="L458" s="7">
        <v>1</v>
      </c>
      <c r="M458" s="7">
        <v>0</v>
      </c>
      <c r="N458" s="7">
        <v>0</v>
      </c>
      <c r="O458" s="7">
        <v>4</v>
      </c>
      <c r="P458" s="7">
        <v>2</v>
      </c>
    </row>
    <row r="459" spans="1:16" x14ac:dyDescent="0.3">
      <c r="A459" s="11" t="s">
        <v>414</v>
      </c>
      <c r="B459" s="11">
        <v>45311</v>
      </c>
      <c r="C459" s="8">
        <v>2024</v>
      </c>
      <c r="D459" s="8" t="str">
        <f t="shared" si="21"/>
        <v>January</v>
      </c>
      <c r="E459" s="8" t="str">
        <f t="shared" si="22"/>
        <v>Saturday</v>
      </c>
      <c r="F459" s="12">
        <v>0.12847222222222221</v>
      </c>
      <c r="G459" s="12" t="str">
        <f t="shared" si="23"/>
        <v>3:00 AM – 4:00 AM</v>
      </c>
      <c r="H459" s="8">
        <v>154</v>
      </c>
      <c r="I459" s="8">
        <v>115</v>
      </c>
      <c r="J459" s="8">
        <v>0</v>
      </c>
      <c r="K459" s="8">
        <v>45</v>
      </c>
      <c r="L459" s="8">
        <v>1</v>
      </c>
      <c r="M459" s="8">
        <v>0</v>
      </c>
      <c r="N459" s="8">
        <v>0</v>
      </c>
      <c r="O459" s="8">
        <v>44</v>
      </c>
      <c r="P459" s="8">
        <v>0</v>
      </c>
    </row>
    <row r="460" spans="1:16" x14ac:dyDescent="0.3">
      <c r="A460" s="9" t="s">
        <v>429</v>
      </c>
      <c r="B460" s="9">
        <v>45296</v>
      </c>
      <c r="C460" s="7">
        <v>2024</v>
      </c>
      <c r="D460" s="7" t="str">
        <f t="shared" si="21"/>
        <v>January</v>
      </c>
      <c r="E460" s="7" t="str">
        <f t="shared" si="22"/>
        <v>Friday</v>
      </c>
      <c r="F460" s="10">
        <v>0.10069444444444445</v>
      </c>
      <c r="G460" s="10" t="str">
        <f t="shared" si="23"/>
        <v>2:00 AM – 3:00 AM</v>
      </c>
      <c r="H460" s="7">
        <v>139</v>
      </c>
      <c r="I460" s="7">
        <v>60</v>
      </c>
      <c r="J460" s="7">
        <v>0</v>
      </c>
      <c r="K460" s="7">
        <v>47</v>
      </c>
      <c r="L460" s="7">
        <v>1</v>
      </c>
      <c r="M460" s="7">
        <v>0</v>
      </c>
      <c r="N460" s="7">
        <v>0</v>
      </c>
      <c r="O460" s="7">
        <v>43</v>
      </c>
      <c r="P460" s="7">
        <v>2</v>
      </c>
    </row>
    <row r="461" spans="1:16" x14ac:dyDescent="0.3">
      <c r="A461" s="11" t="s">
        <v>433</v>
      </c>
      <c r="B461" s="11">
        <v>45292</v>
      </c>
      <c r="C461" s="8">
        <v>2024</v>
      </c>
      <c r="D461" s="8" t="str">
        <f t="shared" si="21"/>
        <v>January</v>
      </c>
      <c r="E461" s="8" t="str">
        <f t="shared" si="22"/>
        <v>Monday</v>
      </c>
      <c r="F461" s="12">
        <v>0.1736111111111111</v>
      </c>
      <c r="G461" s="12" t="str">
        <f t="shared" si="23"/>
        <v>4:00 AM – 5:00 AM</v>
      </c>
      <c r="H461" s="8">
        <v>135</v>
      </c>
      <c r="I461" s="8">
        <v>52</v>
      </c>
      <c r="J461" s="8">
        <v>0</v>
      </c>
      <c r="K461" s="8">
        <v>50</v>
      </c>
      <c r="L461" s="8">
        <v>1</v>
      </c>
      <c r="M461" s="8">
        <v>0</v>
      </c>
      <c r="N461" s="8">
        <v>0</v>
      </c>
      <c r="O461" s="8">
        <v>51</v>
      </c>
      <c r="P461" s="8">
        <v>0</v>
      </c>
    </row>
    <row r="462" spans="1:16" x14ac:dyDescent="0.3">
      <c r="A462" s="9" t="s">
        <v>434</v>
      </c>
      <c r="B462" s="9">
        <v>45291</v>
      </c>
      <c r="C462" s="7">
        <v>2023</v>
      </c>
      <c r="D462" s="7" t="str">
        <f t="shared" si="21"/>
        <v>December</v>
      </c>
      <c r="E462" s="7" t="str">
        <f t="shared" si="22"/>
        <v>Sunday</v>
      </c>
      <c r="F462" s="10">
        <v>0.20902777777777778</v>
      </c>
      <c r="G462" s="10" t="str">
        <f t="shared" si="23"/>
        <v>5:00 AM – 6:00 AM</v>
      </c>
      <c r="H462" s="7">
        <v>134</v>
      </c>
      <c r="I462" s="7">
        <v>52</v>
      </c>
      <c r="J462" s="7">
        <v>0</v>
      </c>
      <c r="K462" s="7">
        <v>47</v>
      </c>
      <c r="L462" s="7">
        <v>1</v>
      </c>
      <c r="M462" s="7">
        <v>0</v>
      </c>
      <c r="N462" s="7">
        <v>0</v>
      </c>
      <c r="O462" s="7">
        <v>48</v>
      </c>
      <c r="P462" s="7">
        <v>4</v>
      </c>
    </row>
    <row r="463" spans="1:16" x14ac:dyDescent="0.3">
      <c r="A463" s="11" t="s">
        <v>435</v>
      </c>
      <c r="B463" s="11">
        <v>45290</v>
      </c>
      <c r="C463" s="8">
        <v>2023</v>
      </c>
      <c r="D463" s="8" t="str">
        <f t="shared" si="21"/>
        <v>December</v>
      </c>
      <c r="E463" s="8" t="str">
        <f t="shared" si="22"/>
        <v>Saturday</v>
      </c>
      <c r="F463" s="12">
        <v>0.17152777777777778</v>
      </c>
      <c r="G463" s="12" t="str">
        <f t="shared" si="23"/>
        <v>4:00 AM – 5:00 AM</v>
      </c>
      <c r="H463" s="8">
        <v>132</v>
      </c>
      <c r="I463" s="8">
        <v>48</v>
      </c>
      <c r="J463" s="8">
        <v>0</v>
      </c>
      <c r="K463" s="8">
        <v>47</v>
      </c>
      <c r="L463" s="8">
        <v>1</v>
      </c>
      <c r="M463" s="8">
        <v>0</v>
      </c>
      <c r="N463" s="8">
        <v>0</v>
      </c>
      <c r="O463" s="8">
        <v>45</v>
      </c>
      <c r="P463" s="8">
        <v>1</v>
      </c>
    </row>
    <row r="464" spans="1:16" x14ac:dyDescent="0.3">
      <c r="A464" s="9" t="s">
        <v>439</v>
      </c>
      <c r="B464" s="9">
        <v>45287</v>
      </c>
      <c r="C464" s="7">
        <v>2023</v>
      </c>
      <c r="D464" s="7" t="str">
        <f t="shared" si="21"/>
        <v>December</v>
      </c>
      <c r="E464" s="7" t="str">
        <f t="shared" si="22"/>
        <v>Wednesday</v>
      </c>
      <c r="F464" s="10">
        <v>0.16250000000000001</v>
      </c>
      <c r="G464" s="10" t="str">
        <f t="shared" si="23"/>
        <v>3:00 AM – 4:00 AM</v>
      </c>
      <c r="H464" s="7">
        <v>128</v>
      </c>
      <c r="I464" s="7">
        <v>42</v>
      </c>
      <c r="J464" s="7">
        <v>0</v>
      </c>
      <c r="K464" s="7">
        <v>40</v>
      </c>
      <c r="L464" s="7">
        <v>1</v>
      </c>
      <c r="M464" s="7">
        <v>0</v>
      </c>
      <c r="N464" s="7">
        <v>0</v>
      </c>
      <c r="O464" s="7">
        <v>40</v>
      </c>
      <c r="P464" s="7">
        <v>3</v>
      </c>
    </row>
    <row r="465" spans="1:16" x14ac:dyDescent="0.3">
      <c r="A465" s="11" t="s">
        <v>442</v>
      </c>
      <c r="B465" s="11">
        <v>45284</v>
      </c>
      <c r="C465" s="8">
        <v>2023</v>
      </c>
      <c r="D465" s="8" t="str">
        <f t="shared" si="21"/>
        <v>December</v>
      </c>
      <c r="E465" s="8" t="str">
        <f t="shared" si="22"/>
        <v>Sunday</v>
      </c>
      <c r="F465" s="12">
        <v>0.20555555555555555</v>
      </c>
      <c r="G465" s="12" t="str">
        <f t="shared" si="23"/>
        <v>4:00 AM – 5:00 AM</v>
      </c>
      <c r="H465" s="8">
        <v>125</v>
      </c>
      <c r="I465" s="8">
        <v>35</v>
      </c>
      <c r="J465" s="8">
        <v>0</v>
      </c>
      <c r="K465" s="8">
        <v>45</v>
      </c>
      <c r="L465" s="8">
        <v>1</v>
      </c>
      <c r="M465" s="8">
        <v>0</v>
      </c>
      <c r="N465" s="8">
        <v>0</v>
      </c>
      <c r="O465" s="8">
        <v>44</v>
      </c>
      <c r="P465" s="8">
        <v>2</v>
      </c>
    </row>
    <row r="466" spans="1:16" x14ac:dyDescent="0.3">
      <c r="A466" s="9" t="s">
        <v>448</v>
      </c>
      <c r="B466" s="9">
        <v>45278</v>
      </c>
      <c r="C466" s="7">
        <v>2023</v>
      </c>
      <c r="D466" s="7" t="str">
        <f t="shared" si="21"/>
        <v>December</v>
      </c>
      <c r="E466" s="7" t="str">
        <f t="shared" si="22"/>
        <v>Monday</v>
      </c>
      <c r="F466" s="10">
        <v>9.930555555555555E-2</v>
      </c>
      <c r="G466" s="10" t="str">
        <f t="shared" si="23"/>
        <v>2:00 AM – 3:00 AM</v>
      </c>
      <c r="H466" s="7">
        <v>119</v>
      </c>
      <c r="I466" s="7">
        <v>31</v>
      </c>
      <c r="J466" s="7">
        <v>0</v>
      </c>
      <c r="K466" s="7">
        <v>43</v>
      </c>
      <c r="L466" s="7">
        <v>2</v>
      </c>
      <c r="M466" s="7">
        <v>1</v>
      </c>
      <c r="N466" s="7">
        <v>1</v>
      </c>
      <c r="O466" s="7">
        <v>58</v>
      </c>
      <c r="P466" s="7">
        <v>0</v>
      </c>
    </row>
    <row r="467" spans="1:16" x14ac:dyDescent="0.3">
      <c r="A467" s="11" t="s">
        <v>451</v>
      </c>
      <c r="B467" s="11">
        <v>45275</v>
      </c>
      <c r="C467" s="8">
        <v>2023</v>
      </c>
      <c r="D467" s="8" t="str">
        <f t="shared" si="21"/>
        <v>December</v>
      </c>
      <c r="E467" s="8" t="str">
        <f t="shared" si="22"/>
        <v>Friday</v>
      </c>
      <c r="F467" s="12">
        <v>0.2</v>
      </c>
      <c r="G467" s="12" t="str">
        <f t="shared" si="23"/>
        <v>4:00 AM – 5:00 AM</v>
      </c>
      <c r="H467" s="8">
        <v>116</v>
      </c>
      <c r="I467" s="8">
        <v>31</v>
      </c>
      <c r="J467" s="8">
        <v>0</v>
      </c>
      <c r="K467" s="8">
        <v>58</v>
      </c>
      <c r="L467" s="8">
        <v>2</v>
      </c>
      <c r="M467" s="8">
        <v>0</v>
      </c>
      <c r="N467" s="8">
        <v>0</v>
      </c>
      <c r="O467" s="8">
        <v>62</v>
      </c>
      <c r="P467" s="8">
        <v>2</v>
      </c>
    </row>
    <row r="468" spans="1:16" x14ac:dyDescent="0.3">
      <c r="A468" s="9" t="s">
        <v>455</v>
      </c>
      <c r="B468" s="9">
        <v>45271</v>
      </c>
      <c r="C468" s="7">
        <v>2023</v>
      </c>
      <c r="D468" s="7" t="str">
        <f t="shared" si="21"/>
        <v>December</v>
      </c>
      <c r="E468" s="7" t="str">
        <f t="shared" si="22"/>
        <v>Monday</v>
      </c>
      <c r="F468" s="10">
        <v>0.22291666666666668</v>
      </c>
      <c r="G468" s="10" t="str">
        <f t="shared" si="23"/>
        <v>5:00 AM – 6:00 AM</v>
      </c>
      <c r="H468" s="7">
        <v>111</v>
      </c>
      <c r="I468" s="7">
        <v>29</v>
      </c>
      <c r="J468" s="7">
        <v>0</v>
      </c>
      <c r="K468" s="7">
        <v>32</v>
      </c>
      <c r="L468" s="7">
        <v>1</v>
      </c>
      <c r="M468" s="7">
        <v>0</v>
      </c>
      <c r="N468" s="7">
        <v>0</v>
      </c>
      <c r="O468" s="7">
        <v>31</v>
      </c>
      <c r="P468" s="7">
        <v>0</v>
      </c>
    </row>
    <row r="469" spans="1:16" x14ac:dyDescent="0.3">
      <c r="A469" s="11" t="s">
        <v>461</v>
      </c>
      <c r="B469" s="11">
        <v>45265</v>
      </c>
      <c r="C469" s="8">
        <v>2023</v>
      </c>
      <c r="D469" s="8" t="str">
        <f t="shared" si="21"/>
        <v>December</v>
      </c>
      <c r="E469" s="8" t="str">
        <f t="shared" si="22"/>
        <v>Tuesday</v>
      </c>
      <c r="F469" s="12">
        <v>0.19722222222222222</v>
      </c>
      <c r="G469" s="12" t="str">
        <f t="shared" si="23"/>
        <v>4:00 AM – 5:00 AM</v>
      </c>
      <c r="H469" s="8">
        <v>105</v>
      </c>
      <c r="I469" s="8">
        <v>29</v>
      </c>
      <c r="J469" s="8">
        <v>0</v>
      </c>
      <c r="K469" s="8">
        <v>23</v>
      </c>
      <c r="L469" s="8">
        <v>1</v>
      </c>
      <c r="M469" s="8">
        <v>0</v>
      </c>
      <c r="N469" s="8">
        <v>0</v>
      </c>
      <c r="O469" s="8">
        <v>21</v>
      </c>
      <c r="P469" s="8">
        <v>0</v>
      </c>
    </row>
    <row r="470" spans="1:16" x14ac:dyDescent="0.3">
      <c r="A470" s="9" t="s">
        <v>462</v>
      </c>
      <c r="B470" s="9">
        <v>45264</v>
      </c>
      <c r="C470" s="7">
        <v>2023</v>
      </c>
      <c r="D470" s="7" t="str">
        <f t="shared" si="21"/>
        <v>December</v>
      </c>
      <c r="E470" s="7" t="str">
        <f t="shared" si="22"/>
        <v>Monday</v>
      </c>
      <c r="F470" s="10">
        <v>0.11805555555555555</v>
      </c>
      <c r="G470" s="10" t="str">
        <f t="shared" si="23"/>
        <v>2:00 AM – 3:00 AM</v>
      </c>
      <c r="H470" s="7">
        <v>104</v>
      </c>
      <c r="I470" s="7">
        <v>29</v>
      </c>
      <c r="J470" s="7">
        <v>0</v>
      </c>
      <c r="K470" s="7">
        <v>22</v>
      </c>
      <c r="L470" s="7">
        <v>1</v>
      </c>
      <c r="M470" s="7">
        <v>0</v>
      </c>
      <c r="N470" s="7">
        <v>1</v>
      </c>
      <c r="O470" s="7">
        <v>22</v>
      </c>
      <c r="P470" s="7">
        <v>0</v>
      </c>
    </row>
    <row r="471" spans="1:16" x14ac:dyDescent="0.3">
      <c r="A471" s="11" t="s">
        <v>465</v>
      </c>
      <c r="B471" s="11">
        <v>45261</v>
      </c>
      <c r="C471" s="8">
        <v>2023</v>
      </c>
      <c r="D471" s="8" t="str">
        <f t="shared" si="21"/>
        <v>December</v>
      </c>
      <c r="E471" s="8" t="str">
        <f t="shared" si="22"/>
        <v>Friday</v>
      </c>
      <c r="F471" s="12">
        <v>0.20416666666666666</v>
      </c>
      <c r="G471" s="12" t="str">
        <f t="shared" si="23"/>
        <v>4:00 AM – 5:00 AM</v>
      </c>
      <c r="H471" s="8">
        <v>101</v>
      </c>
      <c r="I471" s="8">
        <v>29</v>
      </c>
      <c r="J471" s="8">
        <v>0</v>
      </c>
      <c r="K471" s="8">
        <v>16</v>
      </c>
      <c r="L471" s="8">
        <v>1</v>
      </c>
      <c r="M471" s="8">
        <v>0</v>
      </c>
      <c r="N471" s="8">
        <v>0</v>
      </c>
      <c r="O471" s="8">
        <v>17</v>
      </c>
      <c r="P471" s="8">
        <v>0</v>
      </c>
    </row>
    <row r="472" spans="1:16" x14ac:dyDescent="0.3">
      <c r="A472" s="9" t="s">
        <v>466</v>
      </c>
      <c r="B472" s="9">
        <v>45260</v>
      </c>
      <c r="C472" s="7">
        <v>2023</v>
      </c>
      <c r="D472" s="7" t="str">
        <f t="shared" si="21"/>
        <v>November</v>
      </c>
      <c r="E472" s="7" t="str">
        <f t="shared" si="22"/>
        <v>Thursday</v>
      </c>
      <c r="F472" s="10">
        <v>0.10694444444444444</v>
      </c>
      <c r="G472" s="10" t="str">
        <f t="shared" si="23"/>
        <v>2:00 AM – 3:00 AM</v>
      </c>
      <c r="H472" s="7">
        <v>100</v>
      </c>
      <c r="I472" s="7">
        <v>29</v>
      </c>
      <c r="J472" s="7">
        <v>0</v>
      </c>
      <c r="K472" s="7">
        <v>16</v>
      </c>
      <c r="L472" s="7">
        <v>0</v>
      </c>
      <c r="M472" s="7">
        <v>0</v>
      </c>
      <c r="N472" s="7">
        <v>0</v>
      </c>
      <c r="O472" s="7">
        <v>16</v>
      </c>
      <c r="P472" s="7">
        <v>0</v>
      </c>
    </row>
    <row r="473" spans="1:16" x14ac:dyDescent="0.3">
      <c r="A473" s="11" t="s">
        <v>467</v>
      </c>
      <c r="B473" s="11">
        <v>45259</v>
      </c>
      <c r="C473" s="8">
        <v>2023</v>
      </c>
      <c r="D473" s="8" t="str">
        <f t="shared" si="21"/>
        <v>November</v>
      </c>
      <c r="E473" s="8" t="str">
        <f t="shared" si="22"/>
        <v>Wednesday</v>
      </c>
      <c r="F473" s="12">
        <v>0.1</v>
      </c>
      <c r="G473" s="12" t="str">
        <f t="shared" si="23"/>
        <v>2:00 AM – 3:00 AM</v>
      </c>
      <c r="H473" s="8">
        <v>99</v>
      </c>
      <c r="I473" s="8">
        <v>29</v>
      </c>
      <c r="J473" s="8">
        <v>0</v>
      </c>
      <c r="K473" s="8">
        <v>17</v>
      </c>
      <c r="L473" s="8">
        <v>0</v>
      </c>
      <c r="M473" s="8">
        <v>0</v>
      </c>
      <c r="N473" s="8">
        <v>0</v>
      </c>
      <c r="O473" s="8">
        <v>16</v>
      </c>
      <c r="P473" s="8">
        <v>0</v>
      </c>
    </row>
    <row r="474" spans="1:16" x14ac:dyDescent="0.3">
      <c r="A474" s="9" t="s">
        <v>468</v>
      </c>
      <c r="B474" s="9">
        <v>45258</v>
      </c>
      <c r="C474" s="7">
        <v>2023</v>
      </c>
      <c r="D474" s="7" t="str">
        <f t="shared" si="21"/>
        <v>November</v>
      </c>
      <c r="E474" s="7" t="str">
        <f t="shared" si="22"/>
        <v>Tuesday</v>
      </c>
      <c r="F474" s="10">
        <v>0.11388888888888889</v>
      </c>
      <c r="G474" s="10" t="str">
        <f t="shared" si="23"/>
        <v>2:00 AM – 3:00 AM</v>
      </c>
      <c r="H474" s="7">
        <v>98</v>
      </c>
      <c r="I474" s="7">
        <v>29</v>
      </c>
      <c r="J474" s="7">
        <v>0</v>
      </c>
      <c r="K474" s="7">
        <v>18</v>
      </c>
      <c r="L474" s="7">
        <v>0</v>
      </c>
      <c r="M474" s="7">
        <v>0</v>
      </c>
      <c r="N474" s="7">
        <v>1</v>
      </c>
      <c r="O474" s="7">
        <v>16</v>
      </c>
      <c r="P474" s="7">
        <v>0</v>
      </c>
    </row>
    <row r="475" spans="1:16" x14ac:dyDescent="0.3">
      <c r="A475" s="15" t="s">
        <v>480</v>
      </c>
      <c r="B475" s="15">
        <v>45246</v>
      </c>
      <c r="C475" s="16">
        <v>2023</v>
      </c>
      <c r="D475" s="16" t="str">
        <f t="shared" si="21"/>
        <v>November</v>
      </c>
      <c r="E475" s="16" t="str">
        <f t="shared" si="22"/>
        <v>Thursday</v>
      </c>
      <c r="F475" s="17">
        <v>0.10486111111111111</v>
      </c>
      <c r="G475" s="17" t="str">
        <f t="shared" si="23"/>
        <v>2:00 AM – 3:00 AM</v>
      </c>
      <c r="H475" s="16">
        <v>86</v>
      </c>
      <c r="I475" s="16">
        <v>27</v>
      </c>
      <c r="J475" s="16">
        <v>0</v>
      </c>
      <c r="K475" s="16">
        <v>13</v>
      </c>
      <c r="L475" s="16">
        <v>0</v>
      </c>
      <c r="M475" s="16">
        <v>0</v>
      </c>
      <c r="N475" s="16">
        <v>0</v>
      </c>
      <c r="O475" s="16">
        <v>13</v>
      </c>
      <c r="P475" s="16">
        <v>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Full_Instagram_Reels_Stats</vt:lpstr>
      <vt:lpstr>PVT_FOR_Insta_Posts</vt:lpstr>
      <vt:lpstr>High_Reach_Posts</vt:lpstr>
      <vt:lpstr>Full_Instagram_Reels_Stats_Tabl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 7</dc:creator>
  <cp:lastModifiedBy>ASPIRE 7</cp:lastModifiedBy>
  <dcterms:created xsi:type="dcterms:W3CDTF">2025-04-06T17:27:46Z</dcterms:created>
  <dcterms:modified xsi:type="dcterms:W3CDTF">2025-04-14T09:27:16Z</dcterms:modified>
</cp:coreProperties>
</file>